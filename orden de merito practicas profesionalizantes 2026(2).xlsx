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EGO3D\Documents\TAPIE 2026\7A\"/>
    </mc:Choice>
  </mc:AlternateContent>
  <bookViews>
    <workbookView xWindow="0" yWindow="0" windowWidth="23040" windowHeight="8784" tabRatio="931" activeTab="4"/>
  </bookViews>
  <sheets>
    <sheet name="orden de merito 7A" sheetId="1" r:id="rId1"/>
    <sheet name="orden de merito 7B" sheetId="2" r:id="rId2"/>
    <sheet name="7D orden de merito" sheetId="3" r:id="rId3"/>
    <sheet name="Hoja1" sheetId="4" r:id="rId4"/>
    <sheet name="Ingredients Solutions S.A." sheetId="22" r:id="rId5"/>
    <sheet name="MUNI SECRE OBRAS" sheetId="25" r:id="rId6"/>
    <sheet name="VETANCO" sheetId="14" r:id="rId7"/>
    <sheet name="VECO" sheetId="19" r:id="rId8"/>
    <sheet name="METALURGICA TUYU" sheetId="18" r:id="rId9"/>
    <sheet name="ESTRUCMAR" sheetId="7" r:id="rId10"/>
    <sheet name="SAICO" sheetId="8" r:id="rId11"/>
    <sheet name="TRANSFORMADORES " sheetId="13" r:id="rId12"/>
    <sheet name="Just" sheetId="20" r:id="rId13"/>
    <sheet name="ADAMA" sheetId="11" r:id="rId14"/>
    <sheet name="BIMBO " sheetId="24" r:id="rId15"/>
    <sheet name="cfp 401 " sheetId="5" r:id="rId16"/>
    <sheet name="FARMESA" sheetId="21" r:id="rId17"/>
    <sheet name="PREMEC" sheetId="12" r:id="rId18"/>
    <sheet name="serenisima" sheetId="6" r:id="rId19"/>
    <sheet name="YAMAHA" sheetId="15" r:id="rId20"/>
    <sheet name="ACERO LATINA" sheetId="9" r:id="rId21"/>
    <sheet name="VERNET" sheetId="10" r:id="rId22"/>
    <sheet name="ORGANIZACION" sheetId="23" r:id="rId23"/>
  </sheets>
  <definedNames>
    <definedName name="_xlnm.Print_Area" localSheetId="2">'7D orden de merito'!$B$1:$J$76</definedName>
    <definedName name="_xlnm.Print_Area" localSheetId="0">'orden de merito 7A'!$B$1:$K$41</definedName>
    <definedName name="_xlnm.Print_Area" localSheetId="1">'orden de merito 7B'!$B$1:$J$46</definedName>
    <definedName name="_xlnm.Print_Titles" localSheetId="2">'7D orden de merito'!$1:$2</definedName>
    <definedName name="_xlnm.Print_Titles" localSheetId="0">'orden de merito 7A'!$2:$3</definedName>
    <definedName name="_xlnm.Print_Titles" localSheetId="1">'orden de merito 7B'!$1:$2</definedName>
  </definedNames>
  <calcPr calcId="162913"/>
</workbook>
</file>

<file path=xl/calcChain.xml><?xml version="1.0" encoding="utf-8"?>
<calcChain xmlns="http://schemas.openxmlformats.org/spreadsheetml/2006/main">
  <c r="W37" i="5" l="1"/>
  <c r="C10" i="23" l="1"/>
  <c r="X28" i="5" l="1"/>
  <c r="X27" i="5"/>
  <c r="X26" i="5"/>
  <c r="X25" i="5"/>
  <c r="X24" i="5"/>
  <c r="X23" i="5"/>
  <c r="X22" i="5"/>
  <c r="X21" i="5"/>
  <c r="X20" i="5"/>
  <c r="X19" i="5"/>
  <c r="X18" i="5"/>
  <c r="X17" i="5"/>
  <c r="X16" i="5"/>
  <c r="X15" i="5"/>
  <c r="X14" i="5"/>
  <c r="X13" i="5"/>
  <c r="X12" i="5"/>
  <c r="X11" i="5"/>
  <c r="X10" i="5"/>
  <c r="X9" i="5"/>
  <c r="X8" i="5"/>
  <c r="X7" i="5"/>
  <c r="X6" i="5"/>
  <c r="M9" i="5"/>
</calcChain>
</file>

<file path=xl/comments1.xml><?xml version="1.0" encoding="utf-8"?>
<comments xmlns="http://schemas.openxmlformats.org/spreadsheetml/2006/main">
  <authors>
    <author>OpenAI</author>
  </authors>
  <commentList>
    <comment ref="V3" authorId="0" shapeId="0">
      <text>
        <r>
          <rPr>
            <sz val="11"/>
            <color theme="1"/>
            <rFont val="Calibri"/>
            <family val="2"/>
            <scheme val="minor"/>
          </rPr>
          <t>Planilla generada considerando 120 horas totales, martes y miércoles de 8 a 12 hs.</t>
        </r>
      </text>
    </comment>
  </commentList>
</comments>
</file>

<file path=xl/sharedStrings.xml><?xml version="1.0" encoding="utf-8"?>
<sst xmlns="http://schemas.openxmlformats.org/spreadsheetml/2006/main" count="2161" uniqueCount="682">
  <si>
    <t>7°A Técnico Electromecánico — Orden de mérito</t>
  </si>
  <si>
    <t>Ranking</t>
  </si>
  <si>
    <t>Apellido y nombre</t>
  </si>
  <si>
    <t>Promedio</t>
  </si>
  <si>
    <t>Previas</t>
  </si>
  <si>
    <t>D.N.I.</t>
  </si>
  <si>
    <t>Teléfono</t>
  </si>
  <si>
    <t>Género</t>
  </si>
  <si>
    <t>Cel. alumno</t>
  </si>
  <si>
    <t>Fecha de nacimiento</t>
  </si>
  <si>
    <t>Correo electrónico</t>
  </si>
  <si>
    <t>VARONES</t>
  </si>
  <si>
    <t>Godoy Danilo Amaru</t>
  </si>
  <si>
    <t>v</t>
  </si>
  <si>
    <t xml:space="preserve"> 15/08/2007</t>
  </si>
  <si>
    <t>danilogodoy426@gmail.com</t>
  </si>
  <si>
    <t>MUJERES</t>
  </si>
  <si>
    <t>ORTELLAO DYLAN DANIEL</t>
  </si>
  <si>
    <t>nanodylan087@gmail.com</t>
  </si>
  <si>
    <t>TOTAL</t>
  </si>
  <si>
    <t>PEDROZO GUILLERMO JAVIER</t>
  </si>
  <si>
    <t xml:space="preserve"> 11 5493 7877</t>
  </si>
  <si>
    <t xml:space="preserve">guillermopedrozo91@gmail.com </t>
  </si>
  <si>
    <t>Mientras esperamos al resto que se agreguen, porque no puedo avanzar con la carga de sus datos para el consejo provincial de educación y trabajo, ustedes envíen en el grupo, cada uno, un mensaje con su apellido, nombre completo, DNI, FECHA DE NACIMIENTO, CORREO ELECTRÓNICO, CELULAR DE USTEDES, el de sus padres ya los tengo.</t>
  </si>
  <si>
    <t>SALGADO LEANDRO DEMIAN</t>
  </si>
  <si>
    <t xml:space="preserve"> 04/08/2007</t>
  </si>
  <si>
    <t>leandrosalgado04082006@gmail.com</t>
  </si>
  <si>
    <t>PALACIO FERREYRA SANTIAGO NICOLAS</t>
  </si>
  <si>
    <t>11 6879-8007</t>
  </si>
  <si>
    <t xml:space="preserve">santyspalaciof@gmail.com </t>
  </si>
  <si>
    <t>Ledesma Dalmiro Carlos Daniel</t>
  </si>
  <si>
    <t>11 3406-6294</t>
  </si>
  <si>
    <t>ledezmadalmiro@gmail.com</t>
  </si>
  <si>
    <t>Mamani Choque Luis Fernando</t>
  </si>
  <si>
    <t>11 2573-3902</t>
  </si>
  <si>
    <t xml:space="preserve"> luisfernandochoque861@gmail.com</t>
  </si>
  <si>
    <t>JIMENEZ SISNERO DYLAN LAUTARO</t>
  </si>
  <si>
    <t>Bernal Camila Ayelen</t>
  </si>
  <si>
    <t>m</t>
  </si>
  <si>
    <t>GALEANO BENITEZ SILVIA MONSERRAT</t>
  </si>
  <si>
    <t>BERRONDO ISAIAS ARAMIS</t>
  </si>
  <si>
    <t>Salinas Martina Abril</t>
  </si>
  <si>
    <t>Canteros Ian Tomás</t>
  </si>
  <si>
    <t>CASTILLO MICHAEL OMAR</t>
  </si>
  <si>
    <t>921michaelomar@mail.com</t>
  </si>
  <si>
    <t>taller de motos</t>
  </si>
  <si>
    <t>11 2462-9374</t>
  </si>
  <si>
    <t>VILLAVICENCIO CASTRO TIZIANO NEHEMIAS</t>
  </si>
  <si>
    <t>Castrotiziano163@gmail.com</t>
  </si>
  <si>
    <t>paneles solares</t>
  </si>
  <si>
    <t>Amoroso Tiziano Benjamin</t>
  </si>
  <si>
    <t>11 3420-6711</t>
  </si>
  <si>
    <t xml:space="preserve">benjaminamoroso01@gmail.com </t>
  </si>
  <si>
    <t>PROSST LUKA JOAQUIN</t>
  </si>
  <si>
    <t>lukaprosst@gmail.com</t>
  </si>
  <si>
    <t>Loggia Alejandro Iván</t>
  </si>
  <si>
    <t>11 2763-9175</t>
  </si>
  <si>
    <t>11 3230-9793</t>
  </si>
  <si>
    <t>25/02006</t>
  </si>
  <si>
    <t>alejandroivanloggia@gmail.com</t>
  </si>
  <si>
    <t>MONTIVERO DARIO VALENTIN</t>
  </si>
  <si>
    <t xml:space="preserve"> valentinmontivero55@gmail.com</t>
  </si>
  <si>
    <t>Paniagua Luca Elías</t>
  </si>
  <si>
    <t>11 6883-6753</t>
  </si>
  <si>
    <t>paniagualuca68@gmail.com</t>
  </si>
  <si>
    <t>Guamante Jonathan Bautista</t>
  </si>
  <si>
    <t>11 3852-3372</t>
  </si>
  <si>
    <t xml:space="preserve">guamantejonathan@gmail.com </t>
  </si>
  <si>
    <t>RODRIGUEZ ROMAN JUAN CRUZ</t>
  </si>
  <si>
    <t>11 2379-9631</t>
  </si>
  <si>
    <t>jr0935349@gmail.com</t>
  </si>
  <si>
    <t>Bravo Contreras Matías</t>
  </si>
  <si>
    <t>11 6245 8514</t>
  </si>
  <si>
    <t xml:space="preserve"> lammasa25iw@gmail.com</t>
  </si>
  <si>
    <t>Moya Mendoza Elias Giovanny</t>
  </si>
  <si>
    <t>11 5044-2743</t>
  </si>
  <si>
    <t xml:space="preserve">moyae0859@gmail.com </t>
  </si>
  <si>
    <t>BEJARANO THIAGO NAHUEL</t>
  </si>
  <si>
    <t>bejaranothiago537@gmail.com</t>
  </si>
  <si>
    <t>Medina Hernán René</t>
  </si>
  <si>
    <t>11 3047-5251</t>
  </si>
  <si>
    <t>medinahernan723@gmail.com</t>
  </si>
  <si>
    <t>SCARIONE MORENA YANET</t>
  </si>
  <si>
    <t xml:space="preserve"> 03/12/2007</t>
  </si>
  <si>
    <t>scarionemoro@gmail.com</t>
  </si>
  <si>
    <t>Ríos Rodrigo Exequiel</t>
  </si>
  <si>
    <t>11 3404-8325</t>
  </si>
  <si>
    <t xml:space="preserve"> 7/04/2008</t>
  </si>
  <si>
    <t>Rodrigo.e.0704@gmail.com</t>
  </si>
  <si>
    <t>Machado Benitez Luz Marina</t>
  </si>
  <si>
    <t>11 3495-8337</t>
  </si>
  <si>
    <t>luzmachado779@gmail.com</t>
  </si>
  <si>
    <t>ZILIO ANDRES PABLO</t>
  </si>
  <si>
    <t>andreskauffmann71@gmail.com</t>
  </si>
  <si>
    <t>Montaño Flores Alexander</t>
  </si>
  <si>
    <t>11 5576-3576</t>
  </si>
  <si>
    <t>alex1267009@gmail.com</t>
  </si>
  <si>
    <t>Vazquez Facundo Orlando</t>
  </si>
  <si>
    <t>11 2776-1788</t>
  </si>
  <si>
    <t xml:space="preserve">fv35616@gmail.com </t>
  </si>
  <si>
    <t>QUIROGA LEANDRO NAHUEL</t>
  </si>
  <si>
    <t>Medero Fabio Rodrigo</t>
  </si>
  <si>
    <t>11 5110-0816</t>
  </si>
  <si>
    <t>mederorodrigo38@gmail.com</t>
  </si>
  <si>
    <t>Guaiquimil Matias Ariel</t>
  </si>
  <si>
    <t>11 2864-7509</t>
  </si>
  <si>
    <t>matiasguaiquimil96@gmail.com</t>
  </si>
  <si>
    <t>RINCON URIEL LEANDRO</t>
  </si>
  <si>
    <t>25/112007</t>
  </si>
  <si>
    <t>rinconuri7@gmail.com</t>
  </si>
  <si>
    <t>Espeche Ignacio Federico</t>
  </si>
  <si>
    <t>11 6041-5035</t>
  </si>
  <si>
    <t xml:space="preserve"> 21/08/2006</t>
  </si>
  <si>
    <t>nachokarnacho@gmail.com</t>
  </si>
  <si>
    <t>Arias Uño Mauro Gustavo</t>
  </si>
  <si>
    <t>11 6351-9722</t>
  </si>
  <si>
    <t xml:space="preserve">mau242006@gmail.com </t>
  </si>
  <si>
    <t>LISTADO DE ALUMNOS – 7°B (CON DNI Y TELÉFONO)</t>
  </si>
  <si>
    <t>Empresa</t>
  </si>
  <si>
    <t>Empresa / destino</t>
  </si>
  <si>
    <t>Observaciones</t>
  </si>
  <si>
    <t xml:space="preserve">TECHERA BRANDON EZEQUIEL </t>
  </si>
  <si>
    <t xml:space="preserve">DNI: 48874598 </t>
  </si>
  <si>
    <t>TEL: 1131087609</t>
  </si>
  <si>
    <t>colectores solares</t>
  </si>
  <si>
    <t xml:space="preserve">BOGARIN AYALA ALCIRA AYLEN </t>
  </si>
  <si>
    <t>DNI: 48439116</t>
  </si>
  <si>
    <t xml:space="preserve"> TEL: 1124789990</t>
  </si>
  <si>
    <t xml:space="preserve">CEVALLO CELESTE VALERIA </t>
  </si>
  <si>
    <t>DNI: 48291322</t>
  </si>
  <si>
    <t>TEL: 1130981340</t>
  </si>
  <si>
    <t xml:space="preserve">ZARATE MAXIMO GONZALO </t>
  </si>
  <si>
    <t>DNI: 48289110</t>
  </si>
  <si>
    <t>TEL: 1134100987</t>
  </si>
  <si>
    <t xml:space="preserve">PAEZ LEONEL VALENTIN </t>
  </si>
  <si>
    <t>DNI: 48496905</t>
  </si>
  <si>
    <t>TEL: 1162855908</t>
  </si>
  <si>
    <t>CURRA RENZO LAUREANO</t>
  </si>
  <si>
    <t>DNI: 48570014</t>
  </si>
  <si>
    <t>TEL: 1133867976</t>
  </si>
  <si>
    <t xml:space="preserve">PAEZ CAMILO TIZIANO </t>
  </si>
  <si>
    <t>DNI: 48496906</t>
  </si>
  <si>
    <t xml:space="preserve">TORIBIO ROMERO HENRY JORDAN </t>
  </si>
  <si>
    <t>DNI: 48244170</t>
  </si>
  <si>
    <t>TEL: 1133178003</t>
  </si>
  <si>
    <t>CHAVEZ ORIHUELA JEREMIAS SAMUEL</t>
  </si>
  <si>
    <t xml:space="preserve"> DNI: 95368864</t>
  </si>
  <si>
    <t>TEL: 1166222456</t>
  </si>
  <si>
    <t xml:space="preserve">PERALTA CAROLINA YAZMIN </t>
  </si>
  <si>
    <t>DNI: 48437094</t>
  </si>
  <si>
    <t>TEL: 1162010577</t>
  </si>
  <si>
    <t xml:space="preserve">SILVA THIAGO BAUTISTA </t>
  </si>
  <si>
    <t>DNI: 48570110</t>
  </si>
  <si>
    <t>TEL: 1166867458</t>
  </si>
  <si>
    <t>talleres yamaha</t>
  </si>
  <si>
    <t>CACCAVIELLO MAXIMILIANO CRUZ</t>
  </si>
  <si>
    <t>DNI: 47743794</t>
  </si>
  <si>
    <t xml:space="preserve"> TEL: 1124517894</t>
  </si>
  <si>
    <t xml:space="preserve">SORIA ALEX BENJAMIN </t>
  </si>
  <si>
    <t>DNI: 48183487</t>
  </si>
  <si>
    <t>TEL: 1122841069</t>
  </si>
  <si>
    <t xml:space="preserve">SUAREZ ENZO DAVID </t>
  </si>
  <si>
    <t>DNI: 48180261</t>
  </si>
  <si>
    <t>TEL: 1156356408</t>
  </si>
  <si>
    <t xml:space="preserve">FERREYRA ALEXIS AGUSTIN </t>
  </si>
  <si>
    <t xml:space="preserve">DNI: 48637529 </t>
  </si>
  <si>
    <t>TEL: 1161893922</t>
  </si>
  <si>
    <t xml:space="preserve">DA SILVA MATEO MARTIN </t>
  </si>
  <si>
    <t xml:space="preserve"> DNI: 46746198</t>
  </si>
  <si>
    <t xml:space="preserve"> TEL: 1128577078</t>
  </si>
  <si>
    <t xml:space="preserve">NITTOLO FABRICIO MIGUEL </t>
  </si>
  <si>
    <t>DNI: 48238132</t>
  </si>
  <si>
    <t>TEL: 1136614775</t>
  </si>
  <si>
    <t xml:space="preserve">CHILDE MATIAS </t>
  </si>
  <si>
    <t>DNI: 48041224</t>
  </si>
  <si>
    <t>TEL: 1137286895</t>
  </si>
  <si>
    <t xml:space="preserve">LEGUIZAMON FACUNDO DANIEL </t>
  </si>
  <si>
    <t>DNI: 48593101</t>
  </si>
  <si>
    <t>TEL: 1124650316</t>
  </si>
  <si>
    <t xml:space="preserve">AVILA ROCIO DEL CIELO BERENICE </t>
  </si>
  <si>
    <t>DNI: 48295855</t>
  </si>
  <si>
    <t>TEL: 1151106294</t>
  </si>
  <si>
    <t xml:space="preserve">MORENO PUMA RODRIGO </t>
  </si>
  <si>
    <t xml:space="preserve">DNI: 95144208 </t>
  </si>
  <si>
    <t>TEL: 1151415444</t>
  </si>
  <si>
    <t xml:space="preserve">SEGUI KEVIN NAHUEL </t>
  </si>
  <si>
    <t>DNI: 48100839</t>
  </si>
  <si>
    <t>TEL: 1134703387</t>
  </si>
  <si>
    <t>MORINIGO BUSTAMANTE ELIAS EZEQUIEL</t>
  </si>
  <si>
    <t xml:space="preserve">DNI: 95019069 </t>
  </si>
  <si>
    <t>TEL: 1165675979</t>
  </si>
  <si>
    <t xml:space="preserve">GUILLEN BENITEZ MATIAS SALVADOR  </t>
  </si>
  <si>
    <t xml:space="preserve"> DNI: 48181811</t>
  </si>
  <si>
    <t>TEL: 1171078821</t>
  </si>
  <si>
    <t xml:space="preserve">PALOMO THIAGO DANIEL </t>
  </si>
  <si>
    <t>DNI: 48495538</t>
  </si>
  <si>
    <t>TEL: 1139408667</t>
  </si>
  <si>
    <t>AYALA MEZA AXEL ALEJANDRO</t>
  </si>
  <si>
    <t xml:space="preserve"> DNI: 48442837 </t>
  </si>
  <si>
    <t>TEL: 1155092537</t>
  </si>
  <si>
    <t xml:space="preserve">ACOSTA GONZALEZ RYAN GUSTAVO </t>
  </si>
  <si>
    <t xml:space="preserve">DNI: 48428069 </t>
  </si>
  <si>
    <t>TEL: 1125697165</t>
  </si>
  <si>
    <t xml:space="preserve">MONGELOS ORELLANA BENJAMIN ULISES </t>
  </si>
  <si>
    <t xml:space="preserve">DNI: 48055801 </t>
  </si>
  <si>
    <t>TEL: 1127182581</t>
  </si>
  <si>
    <t xml:space="preserve">PERALTA TOBIAS AGUSTIN </t>
  </si>
  <si>
    <t>DNI: 48631821</t>
  </si>
  <si>
    <t>TEL: 1130523448</t>
  </si>
  <si>
    <t xml:space="preserve">FRANCO LORENZO BAUTISTA </t>
  </si>
  <si>
    <t xml:space="preserve">DNI: 48243695 </t>
  </si>
  <si>
    <t>TEL: 1127755328</t>
  </si>
  <si>
    <t xml:space="preserve">POLLAK BENJAMIN MANUEL </t>
  </si>
  <si>
    <t xml:space="preserve">DNI: 48445588 </t>
  </si>
  <si>
    <t>TEL: 11268000578</t>
  </si>
  <si>
    <t>BARÚA VILLAGRA FACUNDO MIGUEL</t>
  </si>
  <si>
    <t xml:space="preserve"> DNI: 48628341 </t>
  </si>
  <si>
    <t xml:space="preserve"> TEL: 1166225183</t>
  </si>
  <si>
    <t>martes y miercoles 8 a 12</t>
  </si>
  <si>
    <t xml:space="preserve">MACHADO LAUTARO EZEQUIEL </t>
  </si>
  <si>
    <t>DNI: 48287816</t>
  </si>
  <si>
    <t>TEL: 1165462210</t>
  </si>
  <si>
    <t xml:space="preserve">DUARTE ORTIZ KEVIN </t>
  </si>
  <si>
    <t>TEL: 1140310890</t>
  </si>
  <si>
    <t xml:space="preserve">VILLARUBIA LUCIANO MARTIN </t>
  </si>
  <si>
    <t>DNI: 48637876</t>
  </si>
  <si>
    <t>TEL: 1144188146</t>
  </si>
  <si>
    <t xml:space="preserve">FERNANDEZ NUÑEZ CARLOS ANDRES </t>
  </si>
  <si>
    <t>DNI: 48244637</t>
  </si>
  <si>
    <t>TEL: 1164596948</t>
  </si>
  <si>
    <t xml:space="preserve">MORENO ALEXIS JAVIER </t>
  </si>
  <si>
    <t>DNI: 48383215</t>
  </si>
  <si>
    <t>TEL: 1131278538</t>
  </si>
  <si>
    <t xml:space="preserve">DUARTE JUAN CRUZ </t>
  </si>
  <si>
    <t>DNI: 48037659</t>
  </si>
  <si>
    <t>TEL: 1158712681</t>
  </si>
  <si>
    <t xml:space="preserve">MANSILLA MACHADO ROLANDO ALEJANDRO </t>
  </si>
  <si>
    <t>DNI: 48495534</t>
  </si>
  <si>
    <t>TEL: 1131296740</t>
  </si>
  <si>
    <t xml:space="preserve">VERA DOMINGUEZ DERLIS DANIEL </t>
  </si>
  <si>
    <t>DNI: 94770433</t>
  </si>
  <si>
    <t>TEL: 1130102530</t>
  </si>
  <si>
    <t xml:space="preserve">CABRERA BRAIAN EZEQUIEL </t>
  </si>
  <si>
    <t xml:space="preserve"> DNI: 48650601 </t>
  </si>
  <si>
    <t>TEL: 1140244105</t>
  </si>
  <si>
    <t>MIRAGLIO ORTEGA ALAN QUIMEY</t>
  </si>
  <si>
    <t xml:space="preserve">DNI: 48762637 </t>
  </si>
  <si>
    <t>TEL: 1135728353</t>
  </si>
  <si>
    <t xml:space="preserve">GALARZA JONATAN LUIS </t>
  </si>
  <si>
    <t xml:space="preserve">DNI: 53216102 </t>
  </si>
  <si>
    <t>TEL: 1149715020</t>
  </si>
  <si>
    <t xml:space="preserve">SINTUERO NAHIARA MAILEN </t>
  </si>
  <si>
    <t>DNI: 48882139</t>
  </si>
  <si>
    <t>TEL: 1134336249</t>
  </si>
  <si>
    <t>7°D — Orden de mérito</t>
  </si>
  <si>
    <t>Materias previas</t>
  </si>
  <si>
    <t>Orden original</t>
  </si>
  <si>
    <t>Nombre (registro)</t>
  </si>
  <si>
    <t>KHOUNPHICHANE DIEGO</t>
  </si>
  <si>
    <t>Martínez Argüello Lucía Mailen</t>
  </si>
  <si>
    <t>11 7235-0799</t>
  </si>
  <si>
    <t>Laborie Michelle Andrea</t>
  </si>
  <si>
    <t>11 2188-4071</t>
  </si>
  <si>
    <t>ALMADA ENCISO CLARA ISABELLA</t>
  </si>
  <si>
    <t>Gomez Mariano Gabriel</t>
  </si>
  <si>
    <t>11 5757-8477</t>
  </si>
  <si>
    <t>Ramos Quispe Katia Belen</t>
  </si>
  <si>
    <t>11 3940-5554</t>
  </si>
  <si>
    <t>MENDOZA GUTIERREZ, MARIA LUZ</t>
  </si>
  <si>
    <t>S/LEGAJO</t>
  </si>
  <si>
    <t>PIN SANTIAGO TOMÀS</t>
  </si>
  <si>
    <t>VELAZQUEZ MOREIRA ELIZABETH MICAELA</t>
  </si>
  <si>
    <t>Torres Luisana Eva</t>
  </si>
  <si>
    <t>11 5965-0341</t>
  </si>
  <si>
    <t>F/DNI</t>
  </si>
  <si>
    <t>OSUNA ZARATE KIARA LUDMILA</t>
  </si>
  <si>
    <t>ULLOA MANRIQUE MATÍAS SEBASTIÀN</t>
  </si>
  <si>
    <t>SILVA MENDOZA LIS MARIANA</t>
  </si>
  <si>
    <t>ENCINA PAREDES ANTONELLA NICOLE</t>
  </si>
  <si>
    <t>Relos López Jacqueline Brenda</t>
  </si>
  <si>
    <t>11 2458-3651</t>
  </si>
  <si>
    <t>Villarreal Ortellao Bahiana</t>
  </si>
  <si>
    <t>11 3059-8613</t>
  </si>
  <si>
    <t>VILLARRUEL JEREMIAS RICARDO</t>
  </si>
  <si>
    <t>Maciel Axel Uriel</t>
  </si>
  <si>
    <t>11 4092-6490</t>
  </si>
  <si>
    <t>MENDOZA ALMAZAN PILAR</t>
  </si>
  <si>
    <t>Paez Dana Agustina</t>
  </si>
  <si>
    <t>11 2501-7229</t>
  </si>
  <si>
    <t>Huzarevych Ivan</t>
  </si>
  <si>
    <t>11 2272-3972</t>
  </si>
  <si>
    <t>ZAVALETA MAURICIO, MATIAS ELIAS</t>
  </si>
  <si>
    <t>MAGLIANO ANA LAURA</t>
  </si>
  <si>
    <t>Aloma De Simone Abril</t>
  </si>
  <si>
    <t>11 6799-4734</t>
  </si>
  <si>
    <t>Fanega Kiara Morena</t>
  </si>
  <si>
    <t>11 6525-2650</t>
  </si>
  <si>
    <t>BARBOZA BOBADILLA JOSE ANDRES</t>
  </si>
  <si>
    <t>SALINAS CABALLERO ROCIO BELÈN</t>
  </si>
  <si>
    <t>CABRAL ARIZAGA YESICA YOHANA</t>
  </si>
  <si>
    <t>Gonzales Viviana Brenda</t>
  </si>
  <si>
    <t>11 6861-2863</t>
  </si>
  <si>
    <t>ACOSTA LUCIA MALENA</t>
  </si>
  <si>
    <t>Aloma De Simone Victoria</t>
  </si>
  <si>
    <t>Pisano Leonel</t>
  </si>
  <si>
    <t>11 3035-8371</t>
  </si>
  <si>
    <t>Sosa Santiago Matias</t>
  </si>
  <si>
    <t>11 3514-4332</t>
  </si>
  <si>
    <t>BAZAN THIAGO LIONEL</t>
  </si>
  <si>
    <t>V</t>
  </si>
  <si>
    <t>Chabur Facundo Gabriel</t>
  </si>
  <si>
    <t>11 2657-6937</t>
  </si>
  <si>
    <t>GODOY GONZALEZ KIARA MORENA</t>
  </si>
  <si>
    <t>MELGAR JULIA REBECA</t>
  </si>
  <si>
    <t>CABRERA CONTRERA MATÍAS</t>
  </si>
  <si>
    <t>LOBOS SILVIO EDUARDO</t>
  </si>
  <si>
    <t>BERTOLI LIZ SASHA CANDELA</t>
  </si>
  <si>
    <t>ESQUIVEL ECHEVERRIA LUCERO AIMARA</t>
  </si>
  <si>
    <t>Albornoz Silvana Evangelina</t>
  </si>
  <si>
    <t>11 2824-0555</t>
  </si>
  <si>
    <t>MASSI SANTIAGO JOSUE</t>
  </si>
  <si>
    <t>Ríos Uriarte Agustin Marcelo</t>
  </si>
  <si>
    <t>Gallo Milena Priscila</t>
  </si>
  <si>
    <t>11 3929-7956</t>
  </si>
  <si>
    <t>PONCE IARA LUDMILA YANET</t>
  </si>
  <si>
    <t>DUMONT THIAGO PATRICIO</t>
  </si>
  <si>
    <t>Reynoso Lucia de los Angeles</t>
  </si>
  <si>
    <t>11 3575-1703</t>
  </si>
  <si>
    <t>Gamarra Morena Jakelin</t>
  </si>
  <si>
    <t>11 2391-0401</t>
  </si>
  <si>
    <t>Abrego Milagros Abril</t>
  </si>
  <si>
    <t>11 6466-5737</t>
  </si>
  <si>
    <t>Benitez Brenda</t>
  </si>
  <si>
    <t>3755 54-4434</t>
  </si>
  <si>
    <t>Nuñez Gonzalez Melanie</t>
  </si>
  <si>
    <t>11 5708-0414</t>
  </si>
  <si>
    <t>Herrera Evelin Milagros</t>
  </si>
  <si>
    <t>11 3214-1880</t>
  </si>
  <si>
    <t>Romero Estrella Jazmín Ailin</t>
  </si>
  <si>
    <t>11 6602-8182</t>
  </si>
  <si>
    <t>Rodríguez Thiago Benjamín</t>
  </si>
  <si>
    <t>11 6056-0751</t>
  </si>
  <si>
    <t>ESQUIVEL ECHEVERRIA MADELEINE BEATRIZ</t>
  </si>
  <si>
    <t>RODRIGUEZ VALENTINA KIARA</t>
  </si>
  <si>
    <t>FRAGA LUDMILA BELEN</t>
  </si>
  <si>
    <t>MEDINA SARACENO VALENTÍN</t>
  </si>
  <si>
    <t>TARROSA GUSTAVO IGNACIO</t>
  </si>
  <si>
    <t>Nuñez Erika Ariadna</t>
  </si>
  <si>
    <t>11 5174-1240</t>
  </si>
  <si>
    <t>Gomez Rocio Mabel</t>
  </si>
  <si>
    <t>11 5989-0122</t>
  </si>
  <si>
    <t>Quiroz Dylan Emanuel</t>
  </si>
  <si>
    <t>11 5110-4690</t>
  </si>
  <si>
    <t>Aguirre Matias Fabian</t>
  </si>
  <si>
    <t>Moyano Rey Selene</t>
  </si>
  <si>
    <t>11 4478-1965</t>
  </si>
  <si>
    <t>Perez Luciano Simón</t>
  </si>
  <si>
    <t>11 5980-2875</t>
  </si>
  <si>
    <t>Rodríguez Mariano Orlando</t>
  </si>
  <si>
    <t>11 4098-4396</t>
  </si>
  <si>
    <t>RIFFA MORENA ABIGAIL</t>
  </si>
  <si>
    <t>BUSTOS MORENA JAZMIN</t>
  </si>
  <si>
    <t>Holzmaister Valentina</t>
  </si>
  <si>
    <t>SALDAÑA DAVID SEBASTIÁN</t>
  </si>
  <si>
    <t>Zarate Ariadna Candela</t>
  </si>
  <si>
    <t>11 3052-5815</t>
  </si>
  <si>
    <t>Alonzo Delgado Valentina Veronica</t>
  </si>
  <si>
    <t>11 3426-2655</t>
  </si>
  <si>
    <t>Berrondo Gabriel Alexander</t>
  </si>
  <si>
    <t>11 6468-4402</t>
  </si>
  <si>
    <t>empresa</t>
  </si>
  <si>
    <t>empres/taller</t>
  </si>
  <si>
    <t>no realizan practica profesionalizantes</t>
  </si>
  <si>
    <t>DNI</t>
  </si>
  <si>
    <t>Teléfono alumno</t>
  </si>
  <si>
    <t>Teléfono responsable</t>
  </si>
  <si>
    <t>femenino</t>
  </si>
  <si>
    <t>loreloymendez@gmail.com</t>
  </si>
  <si>
    <t>lucia.malenaacosta@gmail.com</t>
  </si>
  <si>
    <t>11-52205876</t>
  </si>
  <si>
    <t>masculino</t>
  </si>
  <si>
    <t>matiasaguirree4@gmail.com</t>
  </si>
  <si>
    <t>evangelinaalbornoz6@gmail.com</t>
  </si>
  <si>
    <t>claraenciso3@gmail.com</t>
  </si>
  <si>
    <t>abrildesimone547@gmail.com</t>
  </si>
  <si>
    <t>victoriatusdesimone@gmail.com</t>
  </si>
  <si>
    <t>Tomyvalentina@gmail.com</t>
  </si>
  <si>
    <t>Masculino</t>
  </si>
  <si>
    <t>joseandresbarboza2@gmail.com</t>
  </si>
  <si>
    <t>bazan1478@gmail.com</t>
  </si>
  <si>
    <t>brenbeniteeez@gmail.com</t>
  </si>
  <si>
    <t>Femenino</t>
  </si>
  <si>
    <t>bertolicandela099@gmail.com</t>
  </si>
  <si>
    <t>23 de agosto de 2007</t>
  </si>
  <si>
    <t>yesicacabral789@gmail.com</t>
  </si>
  <si>
    <t>therian</t>
  </si>
  <si>
    <t>20.01.2008</t>
  </si>
  <si>
    <t>cabreracontreramatias8@gmail.com</t>
  </si>
  <si>
    <t>facundochabur87@gmail.com</t>
  </si>
  <si>
    <t>antonellanicoleencina60@gmail.com</t>
  </si>
  <si>
    <t>48.38.34.87</t>
  </si>
  <si>
    <t>esquivellucero75@gmail.com</t>
  </si>
  <si>
    <t>kiaraf0308@gmail.com</t>
  </si>
  <si>
    <t>ludmyfragaa@gmail.com</t>
  </si>
  <si>
    <t>Gallomilenapriscila@gmail.com</t>
  </si>
  <si>
    <t>23.12.2007</t>
  </si>
  <si>
    <t>Gamarramorena44@gmail.com</t>
  </si>
  <si>
    <t>godoykiara00@gmail.com</t>
  </si>
  <si>
    <t>marianoggomez8@gmail.com</t>
  </si>
  <si>
    <t>mabee.el6717@gmail.com</t>
  </si>
  <si>
    <t>vivianabrenda370@gmail.com</t>
  </si>
  <si>
    <t>Herreraevelin2008@gmail.com</t>
  </si>
  <si>
    <t>holzmaistervalentina@gmail.com</t>
  </si>
  <si>
    <t>huzarevychivan@gmail.com</t>
  </si>
  <si>
    <t>dieguitolgl3@gmail.com</t>
  </si>
  <si>
    <t>laboriemichelle28@gmail.com</t>
  </si>
  <si>
    <t>11 2660-4617</t>
  </si>
  <si>
    <t>silvio.lobosxd@gmail.com</t>
  </si>
  <si>
    <t>Analauramagliano@gmail.com</t>
  </si>
  <si>
    <t>luciamartinezt91@gmail.com</t>
  </si>
  <si>
    <t>massisantiago42@gmail.com</t>
  </si>
  <si>
    <t>MEDINA SARACENO VALENTINO</t>
  </si>
  <si>
    <t>Valentinosaraceno35@gmail.com</t>
  </si>
  <si>
    <t>julim1484@gmail.com</t>
  </si>
  <si>
    <t>11 6474-2290</t>
  </si>
  <si>
    <t>03.11.2007</t>
  </si>
  <si>
    <t>Pilarmemdoza59@gmail.com</t>
  </si>
  <si>
    <t>marialuzmendoza73@gmail.com</t>
  </si>
  <si>
    <t>Selenerey49@gmail.com</t>
  </si>
  <si>
    <t>ariadna2008erika@gmail.com</t>
  </si>
  <si>
    <t>melnunez192@gmail.com</t>
  </si>
  <si>
    <t>kiarazarate047@gmail.com</t>
  </si>
  <si>
    <t>danabulacio99@gmail.com</t>
  </si>
  <si>
    <t>simonlu0827@gmail.com</t>
  </si>
  <si>
    <t>113120-8698</t>
  </si>
  <si>
    <t>pinsantiago49@gmail.com</t>
  </si>
  <si>
    <t>leopisano12355@gmail.com</t>
  </si>
  <si>
    <t>iaraponce410@gmail.com</t>
  </si>
  <si>
    <t>katia16102007@gmail.com</t>
  </si>
  <si>
    <t>yaquelinrelos@gmail.com</t>
  </si>
  <si>
    <t>luciareynoso0901@icloud.com</t>
  </si>
  <si>
    <t>agusoropapu32@gmail.com</t>
  </si>
  <si>
    <t>orlandomariano207@gmail.com</t>
  </si>
  <si>
    <t>estrella.j.romero@gmail.com</t>
  </si>
  <si>
    <t>soydavidderodriges@gmail.com</t>
  </si>
  <si>
    <t>11 5913-1788</t>
  </si>
  <si>
    <t>rociosalinascaballero@gmail.com</t>
  </si>
  <si>
    <t>71lismariana@gmail.com</t>
  </si>
  <si>
    <t>Ssosa4127@gmail.com</t>
  </si>
  <si>
    <t>lulitorres267@gmail.com</t>
  </si>
  <si>
    <t>elizabeth2017v@gmail.com</t>
  </si>
  <si>
    <t>bahiuortellao@gmail.com</t>
  </si>
  <si>
    <t>jeremiasvillarruel15@gmail.com</t>
  </si>
  <si>
    <t>31 de enero 2008</t>
  </si>
  <si>
    <t>ariadnacandelazarate@gmail.com</t>
  </si>
  <si>
    <t>matiaszavaleta98@gmail.com</t>
  </si>
  <si>
    <t xml:space="preserve">Teléfono alumno </t>
  </si>
  <si>
    <t>PID</t>
  </si>
  <si>
    <t>INST. OFERENTE</t>
  </si>
  <si>
    <t>FECHA CARGA</t>
  </si>
  <si>
    <t>PERIODO</t>
  </si>
  <si>
    <t>TIPO</t>
  </si>
  <si>
    <t>TP</t>
  </si>
  <si>
    <t>VISADO</t>
  </si>
  <si>
    <t>ESTADO</t>
  </si>
  <si>
    <t>OPERACIONES</t>
  </si>
  <si>
    <t>CENTRO DE FORMACION PROFESIONAL N 401 - CUIT 061506300</t>
  </si>
  <si>
    <t>8/4/2026 16:20 Hs.</t>
  </si>
  <si>
    <t>PP</t>
  </si>
  <si>
    <t>PEX</t>
  </si>
  <si>
    <t>NO</t>
  </si>
  <si>
    <t>Cargado</t>
  </si>
  <si>
    <t>“Especialización Profesional Instalador de Sistemas Solares Térmicos para Agua Caliente Sanitaria”</t>
  </si>
  <si>
    <t>Planilla de curso - Calendario y finalización</t>
  </si>
  <si>
    <t>Fecha de inicio</t>
  </si>
  <si>
    <t>Días de cursada</t>
  </si>
  <si>
    <t>Martes y Miércoles</t>
  </si>
  <si>
    <t>Horario</t>
  </si>
  <si>
    <t>08:00 a 12:00 hs</t>
  </si>
  <si>
    <t>Horas por día</t>
  </si>
  <si>
    <t>Horas por semana</t>
  </si>
  <si>
    <t>Carga total del curso (hs)</t>
  </si>
  <si>
    <t>Semanas estimadas</t>
  </si>
  <si>
    <t>Cantidad de clases</t>
  </si>
  <si>
    <t>Fecha de finalización</t>
  </si>
  <si>
    <t>Alumnos cargados</t>
  </si>
  <si>
    <t>Calendario del curso</t>
  </si>
  <si>
    <t>Clase</t>
  </si>
  <si>
    <t>Fecha</t>
  </si>
  <si>
    <t>Día</t>
  </si>
  <si>
    <t>Horas del día</t>
  </si>
  <si>
    <t>Horas acumuladas</t>
  </si>
  <si>
    <t>Martes</t>
  </si>
  <si>
    <t>08:00 a 12:00</t>
  </si>
  <si>
    <t>Miércoles</t>
  </si>
  <si>
    <t>Listado de alumnos</t>
  </si>
  <si>
    <t>Curso</t>
  </si>
  <si>
    <t>Alumno</t>
  </si>
  <si>
    <t>7A</t>
  </si>
  <si>
    <t/>
  </si>
  <si>
    <t>Rodríguez Roman Juan Cruz</t>
  </si>
  <si>
    <t>Quiroga Leandro Nahuel</t>
  </si>
  <si>
    <t>7B</t>
  </si>
  <si>
    <t>Techera Brandon Ezequiel</t>
  </si>
  <si>
    <t>Bogarin Ayala Alcira Aylen</t>
  </si>
  <si>
    <t>Toribio Romero Henry Jordan</t>
  </si>
  <si>
    <t>Silva Thiago Bautista</t>
  </si>
  <si>
    <t>Caccaviello Maximiliano Cruz</t>
  </si>
  <si>
    <t>Suarez Enzo David</t>
  </si>
  <si>
    <t>Nittolo Fabricio Miguel</t>
  </si>
  <si>
    <t>Childe Matias</t>
  </si>
  <si>
    <t>Guillen Benitez Matias Salvador</t>
  </si>
  <si>
    <t>Palomo Thiago Daniel</t>
  </si>
  <si>
    <t>Pollak Benjamin Manuel</t>
  </si>
  <si>
    <t>Barúa Villagra Facundo Miguel</t>
  </si>
  <si>
    <t>Villarubia Luciano Martin</t>
  </si>
  <si>
    <t>Moreno Alexis Javier</t>
  </si>
  <si>
    <t>Duarte Juan Cruz</t>
  </si>
  <si>
    <t>Mansilla Machado Rolando Alejandro</t>
  </si>
  <si>
    <t>Miraglio Ortega Alan Quimey</t>
  </si>
  <si>
    <t>Galarza Jonatan Luis</t>
  </si>
  <si>
    <t>Sintuero Nahiara Mailen</t>
  </si>
  <si>
    <t>Planilla de asistencia</t>
  </si>
  <si>
    <t>Asistencias</t>
  </si>
  <si>
    <t>7 electromecanicos</t>
  </si>
  <si>
    <t>7 electronicos</t>
  </si>
  <si>
    <t>4 alimentos</t>
  </si>
  <si>
    <t>T MAÑANA</t>
  </si>
  <si>
    <t>T TARDE</t>
  </si>
  <si>
    <t>3 ELECTROMECANICOS</t>
  </si>
  <si>
    <t>2 ELECTRONICOS</t>
  </si>
  <si>
    <t>18 ELECTROMECANICOS EN 3 ROTACIONES</t>
  </si>
  <si>
    <t>12 ELECTRONICOS EN 3 ROTACIONES</t>
  </si>
  <si>
    <t xml:space="preserve">2ELECTROMECANICOS </t>
  </si>
  <si>
    <t>TURNO TARDE</t>
  </si>
  <si>
    <t xml:space="preserve">1 ELECTRONICO </t>
  </si>
  <si>
    <t>TURNO MAÑANA</t>
  </si>
  <si>
    <t>3 ROTACIONES</t>
  </si>
  <si>
    <t>12 ELECTROMECANICOS</t>
  </si>
  <si>
    <t>6 ELECTRONICOS</t>
  </si>
  <si>
    <t>2 MANTENIMIENTO</t>
  </si>
  <si>
    <t>2CALIDAD</t>
  </si>
  <si>
    <t>1 ELECTRONICO</t>
  </si>
  <si>
    <t>1 ELECTROMECANICO</t>
  </si>
  <si>
    <t>2 ELECTROMECANICO</t>
  </si>
  <si>
    <t>3ROTACIONES</t>
  </si>
  <si>
    <t>3 ELECTRONICO</t>
  </si>
  <si>
    <t>6 ELECTROMECANICO</t>
  </si>
  <si>
    <t>2 ELECTROMECANICOS</t>
  </si>
  <si>
    <t>2 ALIMENTOS</t>
  </si>
  <si>
    <t>6 ALIMENTOS</t>
  </si>
  <si>
    <t>12 ELECTROMECANICO</t>
  </si>
  <si>
    <t>6 ELECTRONICO</t>
  </si>
  <si>
    <t>2 ELECXTROMECANICOS</t>
  </si>
  <si>
    <t>2 ROTACIONES</t>
  </si>
  <si>
    <t>8 ELECXTROMECANICOS</t>
  </si>
  <si>
    <t>4 ELECTRONICO</t>
  </si>
  <si>
    <t>2 ECTRONICO</t>
  </si>
  <si>
    <t>3 ALIMENTOS</t>
  </si>
  <si>
    <t>9 ALIMENTOS</t>
  </si>
  <si>
    <t>6 ELECTROMECANICOS</t>
  </si>
  <si>
    <t>6 ECTRONICO</t>
  </si>
  <si>
    <t>4 ALIMENTOS</t>
  </si>
  <si>
    <t>1 ELECTROMECANICOS</t>
  </si>
  <si>
    <t>1 ECTRONICO</t>
  </si>
  <si>
    <t>JUST</t>
  </si>
  <si>
    <t>FARMESA</t>
  </si>
  <si>
    <t>4 ELECTROMECANICO</t>
  </si>
  <si>
    <t xml:space="preserve">SERENISIMA </t>
  </si>
  <si>
    <t>UNA SOLA ROTACIÓN</t>
  </si>
  <si>
    <t>YAMAHA</t>
  </si>
  <si>
    <t>ESTRUCMAR</t>
  </si>
  <si>
    <t>ELECTRICA SAICO</t>
  </si>
  <si>
    <t>ACERO LATINA</t>
  </si>
  <si>
    <t>VERNET</t>
  </si>
  <si>
    <t>ADAMA</t>
  </si>
  <si>
    <t>PREMEC</t>
  </si>
  <si>
    <t>VETANCO</t>
  </si>
  <si>
    <t>TRANSFORMADORES MIRON</t>
  </si>
  <si>
    <t>INGREDIENTS SOLUCIONES SA</t>
  </si>
  <si>
    <t>METALURGICA DEL TUYU</t>
  </si>
  <si>
    <t>VECO</t>
  </si>
  <si>
    <t>OFERENTE CFP 401</t>
  </si>
  <si>
    <t>pantalon</t>
  </si>
  <si>
    <t>zapatos</t>
  </si>
  <si>
    <t>buzo</t>
  </si>
  <si>
    <t>remera</t>
  </si>
  <si>
    <t>t, tarde</t>
  </si>
  <si>
    <t>L</t>
  </si>
  <si>
    <t>L 42</t>
  </si>
  <si>
    <t>cel</t>
  </si>
  <si>
    <t>xl 44</t>
  </si>
  <si>
    <t>xl</t>
  </si>
  <si>
    <t>7b</t>
  </si>
  <si>
    <t>t, mañana</t>
  </si>
  <si>
    <t>M</t>
  </si>
  <si>
    <t>2XL</t>
  </si>
  <si>
    <t>XL</t>
  </si>
  <si>
    <t>DNI: 95368864</t>
  </si>
  <si>
    <t>PERALTA CAROLINA YAZMIN</t>
  </si>
  <si>
    <t>2 ROTACION</t>
  </si>
  <si>
    <t>ROTACION2</t>
  </si>
  <si>
    <t>SORIA 7B</t>
  </si>
  <si>
    <t>SUAREZ ENZO 7B</t>
  </si>
  <si>
    <t>DA SILVA MATEO MARTIN</t>
  </si>
  <si>
    <t>LEGUIZAMON 7B</t>
  </si>
  <si>
    <t>SAICO</t>
  </si>
  <si>
    <t>SERENISIMA</t>
  </si>
  <si>
    <t>SILVA THIAGO</t>
  </si>
  <si>
    <t>METALURGICA TUYU</t>
  </si>
  <si>
    <t>NITTOLO FABRICIO</t>
  </si>
  <si>
    <t>CHILDE MATIAS</t>
  </si>
  <si>
    <t>JUNIO</t>
  </si>
  <si>
    <t>1 ROTACION</t>
  </si>
  <si>
    <t>2rotacion</t>
  </si>
  <si>
    <t>1° rotacion</t>
  </si>
  <si>
    <t xml:space="preserve">DNI: 48442837 </t>
  </si>
  <si>
    <t>TURNO mañana</t>
  </si>
  <si>
    <t>veco</t>
  </si>
  <si>
    <t>ACERO LATINA T.T</t>
  </si>
  <si>
    <t>ACERO LATINA T.M</t>
  </si>
  <si>
    <t>S</t>
  </si>
  <si>
    <t>1 ALIMENTOS</t>
  </si>
  <si>
    <t>3 ELECTROMECANICO</t>
  </si>
  <si>
    <t>TRANSFORMADORES MIRION</t>
  </si>
  <si>
    <t>BIMBO</t>
  </si>
  <si>
    <r>
      <t>🍞</t>
    </r>
    <r>
      <rPr>
        <b/>
        <sz val="15"/>
        <color theme="1"/>
        <rFont val="Segoe UI"/>
        <family val="2"/>
      </rPr>
      <t xml:space="preserve"> BIMBO (2 rotaciones – Turno a definir)</t>
    </r>
  </si>
  <si>
    <t>Rotación</t>
  </si>
  <si>
    <t>Electromecánicos</t>
  </si>
  <si>
    <t>Electrónicos</t>
  </si>
  <si>
    <t>Alimentos</t>
  </si>
  <si>
    <t>1°</t>
  </si>
  <si>
    <t>2°</t>
  </si>
  <si>
    <t>DNI: 48232691</t>
  </si>
  <si>
    <t>NO VIENE MAS</t>
  </si>
  <si>
    <t>SECRETARIA DE OBRAS PUBLICAS</t>
  </si>
  <si>
    <t>AUSENTE</t>
  </si>
  <si>
    <t>3 ROTACION</t>
  </si>
  <si>
    <t>1 ROTACIONES</t>
  </si>
  <si>
    <t>3rotacion</t>
  </si>
  <si>
    <t>FERREYRA ALEXIS AGUSTIN</t>
  </si>
  <si>
    <t>1 rotación</t>
  </si>
  <si>
    <t>2 rotación</t>
  </si>
  <si>
    <t>3 rotación</t>
  </si>
  <si>
    <t xml:space="preserve"> 1roratión</t>
  </si>
  <si>
    <t xml:space="preserve"> 2roratión</t>
  </si>
  <si>
    <t xml:space="preserve"> 3roratión</t>
  </si>
  <si>
    <t>1° ROTACION</t>
  </si>
  <si>
    <t>2° ROTACION</t>
  </si>
  <si>
    <t>3° ROTACION</t>
  </si>
  <si>
    <t>COM</t>
  </si>
  <si>
    <t>GODOY DANILO</t>
  </si>
  <si>
    <t>3XL</t>
  </si>
  <si>
    <t xml:space="preserve">SORIA </t>
  </si>
  <si>
    <t>LEGUIZAMON</t>
  </si>
  <si>
    <t>7a</t>
  </si>
  <si>
    <t>MORENO PUMA RODRIGO</t>
  </si>
  <si>
    <t>ELABORACION Y CALIDAD</t>
  </si>
  <si>
    <t>MANTENIMIENTO</t>
  </si>
  <si>
    <t xml:space="preserve">PID </t>
  </si>
  <si>
    <t>nota: tienen que venir con el delantal</t>
  </si>
  <si>
    <t>sanidad</t>
  </si>
  <si>
    <t>uno en cada turno</t>
  </si>
  <si>
    <t>produccion</t>
  </si>
  <si>
    <t>matenimiento</t>
  </si>
  <si>
    <t>de 8 a 12</t>
  </si>
  <si>
    <t>de 8 a 13</t>
  </si>
  <si>
    <t>ingredients Solution SA</t>
  </si>
  <si>
    <t>farmesa</t>
  </si>
  <si>
    <t>premec</t>
  </si>
  <si>
    <t>serenisima</t>
  </si>
  <si>
    <t>PID 97312</t>
  </si>
  <si>
    <t>ACERO LATINA                  1 ROTACION    PID 97316</t>
  </si>
  <si>
    <t>pid 97310</t>
  </si>
  <si>
    <t>bimbo</t>
  </si>
  <si>
    <t>just          pid    97303</t>
  </si>
  <si>
    <t>pid 97295</t>
  </si>
  <si>
    <t>Estrucmar          97293</t>
  </si>
  <si>
    <t>pid 97286</t>
  </si>
  <si>
    <t>vetanco</t>
  </si>
  <si>
    <t>pid 97281</t>
  </si>
  <si>
    <t>secretaria de obras publicas de la municipalidad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</si>
</sst>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0.0"/>
    <numFmt numFmtId="166" formatCode="dd/mm"/>
  </numFmts>
  <fonts count="4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sz val="10"/>
      <color rgb="FFFFFFFF"/>
      <name val="Arial"/>
      <family val="2"/>
    </font>
    <font>
      <b/>
      <sz val="11"/>
      <name val="Calibri"/>
      <family val="2"/>
    </font>
    <font>
      <b/>
      <sz val="13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/>
      <sz val="8"/>
      <name val="Calibri"/>
      <family val="2"/>
    </font>
    <font>
      <b/>
      <sz val="8"/>
      <color theme="1"/>
      <name val="Arial"/>
      <family val="2"/>
    </font>
    <font>
      <u/>
      <sz val="8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b/>
      <sz val="11"/>
      <color rgb="FF00AEC3"/>
      <name val="Din-light"/>
    </font>
    <font>
      <sz val="8"/>
      <color theme="1"/>
      <name val="Din-light"/>
    </font>
    <font>
      <sz val="8"/>
      <color rgb="FF000000"/>
      <name val="Din-light"/>
    </font>
    <font>
      <b/>
      <sz val="12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5"/>
      <color theme="1"/>
      <name val="Segoe UI Symbol"/>
      <family val="2"/>
    </font>
    <font>
      <b/>
      <sz val="15"/>
      <color theme="1"/>
      <name val="Segoe UI"/>
      <family val="2"/>
    </font>
    <font>
      <sz val="11.5"/>
      <color theme="1"/>
      <name val="Segoe UI"/>
      <family val="2"/>
    </font>
    <font>
      <sz val="10"/>
      <color theme="1"/>
      <name val="Calibri"/>
      <family val="2"/>
      <scheme val="minor"/>
    </font>
    <font>
      <b/>
      <u/>
      <sz val="9"/>
      <color theme="10"/>
      <name val="Calibri"/>
      <family val="2"/>
      <scheme val="minor"/>
    </font>
    <font>
      <sz val="8"/>
      <color rgb="FF333333"/>
      <name val="Din-light"/>
    </font>
    <font>
      <b/>
      <sz val="10"/>
      <color rgb="FF333333"/>
      <name val="Din-light"/>
    </font>
    <font>
      <b/>
      <sz val="12"/>
      <color rgb="FF333333"/>
      <name val="Din-light"/>
    </font>
    <font>
      <b/>
      <sz val="12"/>
      <color theme="1"/>
      <name val="Calibri"/>
      <family val="2"/>
      <scheme val="minor"/>
    </font>
    <font>
      <b/>
      <sz val="14"/>
      <color rgb="FF333333"/>
      <name val="Din-light"/>
    </font>
    <font>
      <b/>
      <sz val="16"/>
      <color rgb="FF333333"/>
      <name val="Din-light"/>
    </font>
    <font>
      <b/>
      <sz val="1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0"/>
      </patternFill>
    </fill>
    <fill>
      <patternFill patternType="solid">
        <fgColor rgb="FFFFD966"/>
      </patternFill>
    </fill>
    <fill>
      <patternFill patternType="solid">
        <fgColor rgb="FFC6E0B4"/>
      </patternFill>
    </fill>
    <fill>
      <patternFill patternType="solid">
        <fgColor rgb="FFD9D9D9"/>
      </patternFill>
    </fill>
    <fill>
      <patternFill patternType="solid">
        <fgColor rgb="FFF4B183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DCE6F1"/>
      </patternFill>
    </fill>
    <fill>
      <patternFill patternType="solid">
        <fgColor rgb="FFEAF2F8"/>
      </patternFill>
    </fill>
    <fill>
      <patternFill patternType="solid">
        <fgColor rgb="FFD9EDEB"/>
      </patternFill>
    </fill>
    <fill>
      <patternFill patternType="solid">
        <fgColor rgb="FFF8FB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8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B7CCE3"/>
      </bottom>
      <diagonal/>
    </border>
    <border>
      <left style="medium">
        <color indexed="64"/>
      </left>
      <right style="medium">
        <color indexed="64"/>
      </right>
      <top style="thin">
        <color rgb="FFB7CCE3"/>
      </top>
      <bottom style="thin">
        <color rgb="FFB7CCE3"/>
      </bottom>
      <diagonal/>
    </border>
    <border>
      <left style="medium">
        <color indexed="64"/>
      </left>
      <right style="medium">
        <color indexed="64"/>
      </right>
      <top style="thin">
        <color rgb="FFB7CCE3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B7CCE3"/>
      </bottom>
      <diagonal/>
    </border>
    <border>
      <left/>
      <right style="medium">
        <color indexed="64"/>
      </right>
      <top style="thin">
        <color rgb="FFB7CCE3"/>
      </top>
      <bottom style="thin">
        <color rgb="FFB7CCE3"/>
      </bottom>
      <diagonal/>
    </border>
    <border>
      <left/>
      <right style="medium">
        <color indexed="64"/>
      </right>
      <top style="thin">
        <color rgb="FFB7CCE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rgb="FFB7CCE3"/>
      </bottom>
      <diagonal/>
    </border>
    <border>
      <left/>
      <right/>
      <top style="thin">
        <color rgb="FFB7CCE3"/>
      </top>
      <bottom style="thin">
        <color rgb="FFB7CCE3"/>
      </bottom>
      <diagonal/>
    </border>
    <border>
      <left/>
      <right/>
      <top style="thin">
        <color rgb="FFB7CCE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11111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BFBFBF"/>
      </bottom>
      <diagonal/>
    </border>
    <border>
      <left/>
      <right style="medium">
        <color indexed="64"/>
      </right>
      <top style="thin">
        <color rgb="FFBFBFBF"/>
      </top>
      <bottom style="thin">
        <color rgb="FFBFBFBF"/>
      </bottom>
      <diagonal/>
    </border>
    <border>
      <left/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571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3" xfId="0" applyFont="1" applyBorder="1" applyAlignment="1">
      <alignment wrapText="1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wrapText="1"/>
    </xf>
    <xf numFmtId="0" fontId="1" fillId="2" borderId="7" xfId="0" applyFont="1" applyFill="1" applyBorder="1" applyAlignment="1">
      <alignment wrapText="1"/>
    </xf>
    <xf numFmtId="0" fontId="0" fillId="0" borderId="0" xfId="0"/>
    <xf numFmtId="0" fontId="1" fillId="0" borderId="2" xfId="0" applyFont="1" applyBorder="1" applyAlignment="1">
      <alignment wrapText="1"/>
    </xf>
    <xf numFmtId="0" fontId="0" fillId="3" borderId="8" xfId="0" applyFill="1" applyBorder="1"/>
    <xf numFmtId="0" fontId="0" fillId="3" borderId="0" xfId="0" applyFill="1"/>
    <xf numFmtId="0" fontId="3" fillId="0" borderId="1" xfId="0" applyFont="1" applyBorder="1" applyAlignment="1">
      <alignment horizontal="center" vertical="center" wrapText="1"/>
    </xf>
    <xf numFmtId="0" fontId="0" fillId="0" borderId="10" xfId="0" applyBorder="1"/>
    <xf numFmtId="0" fontId="0" fillId="0" borderId="12" xfId="0" applyBorder="1"/>
    <xf numFmtId="0" fontId="5" fillId="11" borderId="14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8" fillId="7" borderId="17" xfId="0" applyFont="1" applyFill="1" applyBorder="1" applyAlignment="1">
      <alignment horizontal="center" vertical="center"/>
    </xf>
    <xf numFmtId="0" fontId="8" fillId="12" borderId="1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0" fontId="8" fillId="12" borderId="16" xfId="0" applyFont="1" applyFill="1" applyBorder="1" applyAlignment="1">
      <alignment horizontal="center" vertical="center"/>
    </xf>
    <xf numFmtId="0" fontId="7" fillId="12" borderId="16" xfId="0" applyFont="1" applyFill="1" applyBorder="1" applyAlignment="1">
      <alignment horizontal="left" vertical="center"/>
    </xf>
    <xf numFmtId="0" fontId="7" fillId="12" borderId="17" xfId="0" applyFont="1" applyFill="1" applyBorder="1" applyAlignment="1">
      <alignment horizontal="left" vertical="center"/>
    </xf>
    <xf numFmtId="0" fontId="7" fillId="12" borderId="18" xfId="0" applyFont="1" applyFill="1" applyBorder="1" applyAlignment="1">
      <alignment horizontal="left" vertical="center"/>
    </xf>
    <xf numFmtId="2" fontId="8" fillId="5" borderId="16" xfId="0" applyNumberFormat="1" applyFont="1" applyFill="1" applyBorder="1" applyAlignment="1">
      <alignment horizontal="center" vertical="center"/>
    </xf>
    <xf numFmtId="2" fontId="8" fillId="5" borderId="17" xfId="0" applyNumberFormat="1" applyFont="1" applyFill="1" applyBorder="1" applyAlignment="1">
      <alignment horizontal="center" vertical="center"/>
    </xf>
    <xf numFmtId="2" fontId="8" fillId="5" borderId="18" xfId="0" applyNumberFormat="1" applyFont="1" applyFill="1" applyBorder="1" applyAlignment="1">
      <alignment horizontal="center" vertical="center"/>
    </xf>
    <xf numFmtId="2" fontId="8" fillId="9" borderId="18" xfId="0" applyNumberFormat="1" applyFont="1" applyFill="1" applyBorder="1" applyAlignment="1">
      <alignment horizontal="center" vertical="center"/>
    </xf>
    <xf numFmtId="2" fontId="8" fillId="8" borderId="17" xfId="0" applyNumberFormat="1" applyFont="1" applyFill="1" applyBorder="1" applyAlignment="1">
      <alignment horizontal="center" vertical="center"/>
    </xf>
    <xf numFmtId="2" fontId="8" fillId="8" borderId="16" xfId="0" applyNumberFormat="1" applyFont="1" applyFill="1" applyBorder="1" applyAlignment="1">
      <alignment horizontal="center" vertical="center"/>
    </xf>
    <xf numFmtId="2" fontId="8" fillId="8" borderId="18" xfId="0" applyNumberFormat="1" applyFont="1" applyFill="1" applyBorder="1" applyAlignment="1">
      <alignment horizontal="center" vertical="center"/>
    </xf>
    <xf numFmtId="1" fontId="8" fillId="12" borderId="16" xfId="0" applyNumberFormat="1" applyFont="1" applyFill="1" applyBorder="1" applyAlignment="1">
      <alignment horizontal="center" vertical="center"/>
    </xf>
    <xf numFmtId="1" fontId="8" fillId="12" borderId="17" xfId="0" applyNumberFormat="1" applyFont="1" applyFill="1" applyBorder="1" applyAlignment="1">
      <alignment horizontal="center" vertical="center"/>
    </xf>
    <xf numFmtId="1" fontId="8" fillId="12" borderId="18" xfId="0" applyNumberFormat="1" applyFont="1" applyFill="1" applyBorder="1" applyAlignment="1">
      <alignment horizontal="center" vertical="center"/>
    </xf>
    <xf numFmtId="0" fontId="7" fillId="12" borderId="16" xfId="0" applyFont="1" applyFill="1" applyBorder="1" applyAlignment="1">
      <alignment horizontal="center" vertical="center"/>
    </xf>
    <xf numFmtId="0" fontId="7" fillId="12" borderId="17" xfId="0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 vertical="center"/>
    </xf>
    <xf numFmtId="0" fontId="7" fillId="12" borderId="19" xfId="0" applyFont="1" applyFill="1" applyBorder="1" applyAlignment="1">
      <alignment horizontal="center" vertical="center"/>
    </xf>
    <xf numFmtId="0" fontId="7" fillId="12" borderId="20" xfId="0" applyFont="1" applyFill="1" applyBorder="1" applyAlignment="1">
      <alignment horizontal="center" vertical="center"/>
    </xf>
    <xf numFmtId="0" fontId="7" fillId="12" borderId="21" xfId="0" applyFont="1" applyFill="1" applyBorder="1" applyAlignment="1">
      <alignment horizontal="center" vertical="center"/>
    </xf>
    <xf numFmtId="0" fontId="7" fillId="12" borderId="8" xfId="0" applyFont="1" applyFill="1" applyBorder="1" applyAlignment="1">
      <alignment horizontal="center" vertical="center"/>
    </xf>
    <xf numFmtId="14" fontId="7" fillId="12" borderId="8" xfId="0" applyNumberFormat="1" applyFont="1" applyFill="1" applyBorder="1" applyAlignment="1">
      <alignment horizontal="center" vertical="center"/>
    </xf>
    <xf numFmtId="164" fontId="7" fillId="12" borderId="8" xfId="0" applyNumberFormat="1" applyFont="1" applyFill="1" applyBorder="1" applyAlignment="1">
      <alignment horizontal="center" vertical="center"/>
    </xf>
    <xf numFmtId="0" fontId="7" fillId="12" borderId="25" xfId="0" applyFont="1" applyFill="1" applyBorder="1" applyAlignment="1">
      <alignment horizontal="center" vertical="center"/>
    </xf>
    <xf numFmtId="164" fontId="7" fillId="12" borderId="25" xfId="0" applyNumberFormat="1" applyFont="1" applyFill="1" applyBorder="1" applyAlignment="1">
      <alignment horizontal="center" vertical="center"/>
    </xf>
    <xf numFmtId="0" fontId="8" fillId="6" borderId="32" xfId="0" applyFont="1" applyFill="1" applyBorder="1" applyAlignment="1">
      <alignment horizontal="center" vertical="center"/>
    </xf>
    <xf numFmtId="0" fontId="8" fillId="7" borderId="32" xfId="0" applyFont="1" applyFill="1" applyBorder="1" applyAlignment="1">
      <alignment horizontal="center" vertical="center"/>
    </xf>
    <xf numFmtId="0" fontId="8" fillId="12" borderId="32" xfId="0" applyFont="1" applyFill="1" applyBorder="1" applyAlignment="1">
      <alignment horizontal="center" vertical="center"/>
    </xf>
    <xf numFmtId="0" fontId="8" fillId="12" borderId="4" xfId="0" applyFont="1" applyFill="1" applyBorder="1" applyAlignment="1">
      <alignment horizontal="center" vertical="center"/>
    </xf>
    <xf numFmtId="0" fontId="7" fillId="12" borderId="32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left" vertical="center"/>
    </xf>
    <xf numFmtId="0" fontId="7" fillId="12" borderId="11" xfId="0" applyFont="1" applyFill="1" applyBorder="1" applyAlignment="1">
      <alignment horizontal="center" vertical="center"/>
    </xf>
    <xf numFmtId="0" fontId="7" fillId="12" borderId="30" xfId="0" applyFont="1" applyFill="1" applyBorder="1" applyAlignment="1">
      <alignment horizontal="center" vertical="center"/>
    </xf>
    <xf numFmtId="3" fontId="7" fillId="12" borderId="32" xfId="0" applyNumberFormat="1" applyFont="1" applyFill="1" applyBorder="1" applyAlignment="1">
      <alignment horizontal="center" vertical="center"/>
    </xf>
    <xf numFmtId="0" fontId="7" fillId="12" borderId="32" xfId="0" applyFont="1" applyFill="1" applyBorder="1" applyAlignment="1">
      <alignment horizontal="center" vertical="center"/>
    </xf>
    <xf numFmtId="3" fontId="7" fillId="12" borderId="4" xfId="0" applyNumberFormat="1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/>
    </xf>
    <xf numFmtId="2" fontId="8" fillId="5" borderId="32" xfId="0" applyNumberFormat="1" applyFont="1" applyFill="1" applyBorder="1" applyAlignment="1">
      <alignment horizontal="center" vertical="center"/>
    </xf>
    <xf numFmtId="2" fontId="8" fillId="8" borderId="32" xfId="0" applyNumberFormat="1" applyFont="1" applyFill="1" applyBorder="1" applyAlignment="1">
      <alignment horizontal="center" vertical="center"/>
    </xf>
    <xf numFmtId="2" fontId="8" fillId="9" borderId="32" xfId="0" applyNumberFormat="1" applyFont="1" applyFill="1" applyBorder="1" applyAlignment="1">
      <alignment horizontal="center" vertical="center"/>
    </xf>
    <xf numFmtId="2" fontId="8" fillId="9" borderId="4" xfId="0" applyNumberFormat="1" applyFont="1" applyFill="1" applyBorder="1" applyAlignment="1">
      <alignment horizontal="center" vertical="center"/>
    </xf>
    <xf numFmtId="1" fontId="8" fillId="12" borderId="32" xfId="0" applyNumberFormat="1" applyFont="1" applyFill="1" applyBorder="1" applyAlignment="1">
      <alignment horizontal="center" vertical="center"/>
    </xf>
    <xf numFmtId="1" fontId="8" fillId="12" borderId="4" xfId="0" applyNumberFormat="1" applyFont="1" applyFill="1" applyBorder="1" applyAlignment="1">
      <alignment horizontal="center" vertical="center"/>
    </xf>
    <xf numFmtId="0" fontId="5" fillId="11" borderId="34" xfId="0" applyFont="1" applyFill="1" applyBorder="1" applyAlignment="1">
      <alignment horizontal="center" vertical="center"/>
    </xf>
    <xf numFmtId="0" fontId="8" fillId="12" borderId="36" xfId="0" applyFont="1" applyFill="1" applyBorder="1" applyAlignment="1">
      <alignment horizontal="center" vertical="center"/>
    </xf>
    <xf numFmtId="0" fontId="7" fillId="12" borderId="36" xfId="0" applyFont="1" applyFill="1" applyBorder="1" applyAlignment="1">
      <alignment horizontal="left" vertical="center"/>
    </xf>
    <xf numFmtId="1" fontId="8" fillId="12" borderId="36" xfId="0" applyNumberFormat="1" applyFont="1" applyFill="1" applyBorder="1" applyAlignment="1">
      <alignment horizontal="center" vertical="center"/>
    </xf>
    <xf numFmtId="3" fontId="7" fillId="12" borderId="36" xfId="0" applyNumberFormat="1" applyFont="1" applyFill="1" applyBorder="1" applyAlignment="1">
      <alignment horizontal="center" vertical="center"/>
    </xf>
    <xf numFmtId="0" fontId="7" fillId="12" borderId="36" xfId="0" applyFont="1" applyFill="1" applyBorder="1" applyAlignment="1">
      <alignment horizontal="center" vertical="center"/>
    </xf>
    <xf numFmtId="0" fontId="7" fillId="12" borderId="29" xfId="0" applyFont="1" applyFill="1" applyBorder="1" applyAlignment="1">
      <alignment horizontal="center" vertical="center"/>
    </xf>
    <xf numFmtId="0" fontId="7" fillId="12" borderId="28" xfId="0" applyFont="1" applyFill="1" applyBorder="1" applyAlignment="1">
      <alignment horizontal="center" vertical="center"/>
    </xf>
    <xf numFmtId="164" fontId="7" fillId="12" borderId="28" xfId="0" applyNumberFormat="1" applyFont="1" applyFill="1" applyBorder="1" applyAlignment="1">
      <alignment horizontal="center" vertical="center"/>
    </xf>
    <xf numFmtId="0" fontId="7" fillId="12" borderId="31" xfId="0" applyFont="1" applyFill="1" applyBorder="1" applyAlignment="1">
      <alignment horizontal="left" vertical="center"/>
    </xf>
    <xf numFmtId="1" fontId="8" fillId="12" borderId="31" xfId="0" applyNumberFormat="1" applyFont="1" applyFill="1" applyBorder="1" applyAlignment="1">
      <alignment horizontal="center" vertical="center"/>
    </xf>
    <xf numFmtId="3" fontId="7" fillId="12" borderId="31" xfId="0" applyNumberFormat="1" applyFont="1" applyFill="1" applyBorder="1" applyAlignment="1">
      <alignment horizontal="center" vertical="center"/>
    </xf>
    <xf numFmtId="0" fontId="7" fillId="12" borderId="31" xfId="0" applyFont="1" applyFill="1" applyBorder="1" applyAlignment="1">
      <alignment horizontal="center" vertical="center"/>
    </xf>
    <xf numFmtId="0" fontId="7" fillId="12" borderId="27" xfId="0" applyFont="1" applyFill="1" applyBorder="1" applyAlignment="1">
      <alignment horizontal="center" vertical="center"/>
    </xf>
    <xf numFmtId="0" fontId="7" fillId="12" borderId="22" xfId="0" applyFont="1" applyFill="1" applyBorder="1" applyAlignment="1">
      <alignment horizontal="center" vertical="center"/>
    </xf>
    <xf numFmtId="2" fontId="8" fillId="8" borderId="36" xfId="0" applyNumberFormat="1" applyFont="1" applyFill="1" applyBorder="1" applyAlignment="1">
      <alignment horizontal="center" vertical="center"/>
    </xf>
    <xf numFmtId="0" fontId="8" fillId="12" borderId="31" xfId="0" applyFont="1" applyFill="1" applyBorder="1" applyAlignment="1">
      <alignment horizontal="center" vertical="center"/>
    </xf>
    <xf numFmtId="164" fontId="7" fillId="12" borderId="22" xfId="0" applyNumberFormat="1" applyFont="1" applyFill="1" applyBorder="1" applyAlignment="1">
      <alignment horizontal="center" vertical="center"/>
    </xf>
    <xf numFmtId="2" fontId="8" fillId="5" borderId="4" xfId="0" applyNumberFormat="1" applyFont="1" applyFill="1" applyBorder="1" applyAlignment="1">
      <alignment horizontal="center" vertical="center"/>
    </xf>
    <xf numFmtId="2" fontId="8" fillId="8" borderId="31" xfId="0" applyNumberFormat="1" applyFont="1" applyFill="1" applyBorder="1" applyAlignment="1">
      <alignment horizontal="center" vertical="center"/>
    </xf>
    <xf numFmtId="2" fontId="8" fillId="8" borderId="4" xfId="0" applyNumberFormat="1" applyFont="1" applyFill="1" applyBorder="1" applyAlignment="1">
      <alignment horizontal="center" vertical="center"/>
    </xf>
    <xf numFmtId="2" fontId="8" fillId="5" borderId="36" xfId="0" applyNumberFormat="1" applyFont="1" applyFill="1" applyBorder="1" applyAlignment="1">
      <alignment horizontal="center" vertical="center"/>
    </xf>
    <xf numFmtId="2" fontId="8" fillId="9" borderId="36" xfId="0" applyNumberFormat="1" applyFont="1" applyFill="1" applyBorder="1" applyAlignment="1">
      <alignment horizontal="center" vertical="center"/>
    </xf>
    <xf numFmtId="14" fontId="7" fillId="12" borderId="28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2" fontId="7" fillId="5" borderId="16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center" vertical="center"/>
    </xf>
    <xf numFmtId="2" fontId="7" fillId="5" borderId="18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6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2" fontId="7" fillId="9" borderId="17" xfId="0" applyNumberFormat="1" applyFont="1" applyFill="1" applyBorder="1" applyAlignment="1">
      <alignment horizontal="center" vertical="center"/>
    </xf>
    <xf numFmtId="2" fontId="7" fillId="9" borderId="18" xfId="0" applyNumberFormat="1" applyFont="1" applyFill="1" applyBorder="1" applyAlignment="1">
      <alignment horizontal="center" vertical="center"/>
    </xf>
    <xf numFmtId="1" fontId="7" fillId="12" borderId="16" xfId="0" applyNumberFormat="1" applyFont="1" applyFill="1" applyBorder="1" applyAlignment="1">
      <alignment horizontal="center" vertical="center"/>
    </xf>
    <xf numFmtId="1" fontId="7" fillId="12" borderId="17" xfId="0" applyNumberFormat="1" applyFont="1" applyFill="1" applyBorder="1" applyAlignment="1">
      <alignment horizontal="center" vertical="center"/>
    </xf>
    <xf numFmtId="1" fontId="7" fillId="12" borderId="18" xfId="0" applyNumberFormat="1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11" fillId="12" borderId="19" xfId="0" applyFont="1" applyFill="1" applyBorder="1" applyAlignment="1">
      <alignment horizontal="center" vertical="center"/>
    </xf>
    <xf numFmtId="0" fontId="11" fillId="12" borderId="20" xfId="0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horizontal="center" vertical="center"/>
    </xf>
    <xf numFmtId="0" fontId="10" fillId="12" borderId="16" xfId="0" applyFont="1" applyFill="1" applyBorder="1" applyAlignment="1">
      <alignment horizontal="center" vertical="center"/>
    </xf>
    <xf numFmtId="0" fontId="10" fillId="12" borderId="17" xfId="0" applyFont="1" applyFill="1" applyBorder="1" applyAlignment="1">
      <alignment horizontal="center" vertical="center"/>
    </xf>
    <xf numFmtId="0" fontId="10" fillId="12" borderId="18" xfId="0" applyFont="1" applyFill="1" applyBorder="1" applyAlignment="1">
      <alignment horizontal="center" vertical="center"/>
    </xf>
    <xf numFmtId="0" fontId="14" fillId="0" borderId="8" xfId="1" applyFont="1" applyBorder="1" applyAlignment="1">
      <alignment horizontal="center" vertical="center"/>
    </xf>
    <xf numFmtId="0" fontId="11" fillId="12" borderId="24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  <xf numFmtId="0" fontId="15" fillId="0" borderId="24" xfId="0" applyFont="1" applyBorder="1"/>
    <xf numFmtId="0" fontId="14" fillId="0" borderId="8" xfId="1" applyFont="1" applyFill="1" applyBorder="1" applyAlignment="1">
      <alignment horizontal="center" vertical="center"/>
    </xf>
    <xf numFmtId="0" fontId="15" fillId="3" borderId="25" xfId="0" applyFont="1" applyFill="1" applyBorder="1"/>
    <xf numFmtId="0" fontId="16" fillId="0" borderId="25" xfId="0" applyFont="1" applyFill="1" applyBorder="1" applyAlignment="1">
      <alignment horizontal="center" vertical="center" wrapText="1"/>
    </xf>
    <xf numFmtId="0" fontId="15" fillId="0" borderId="26" xfId="0" applyFont="1" applyBorder="1"/>
    <xf numFmtId="0" fontId="15" fillId="0" borderId="37" xfId="0" applyFont="1" applyBorder="1"/>
    <xf numFmtId="0" fontId="16" fillId="2" borderId="8" xfId="0" applyFont="1" applyFill="1" applyBorder="1" applyAlignment="1">
      <alignment horizontal="center" vertical="center" wrapText="1"/>
    </xf>
    <xf numFmtId="0" fontId="14" fillId="0" borderId="8" xfId="1" applyFont="1" applyBorder="1" applyAlignment="1">
      <alignment horizontal="center" vertical="center" wrapText="1"/>
    </xf>
    <xf numFmtId="0" fontId="15" fillId="0" borderId="23" xfId="0" applyFont="1" applyBorder="1"/>
    <xf numFmtId="0" fontId="15" fillId="0" borderId="8" xfId="0" applyFont="1" applyBorder="1"/>
    <xf numFmtId="0" fontId="15" fillId="3" borderId="26" xfId="0" applyFont="1" applyFill="1" applyBorder="1"/>
    <xf numFmtId="0" fontId="14" fillId="3" borderId="28" xfId="1" applyFont="1" applyFill="1" applyBorder="1" applyAlignment="1">
      <alignment horizontal="center" vertical="center" wrapText="1"/>
    </xf>
    <xf numFmtId="0" fontId="15" fillId="3" borderId="37" xfId="0" applyFont="1" applyFill="1" applyBorder="1"/>
    <xf numFmtId="0" fontId="14" fillId="3" borderId="8" xfId="1" applyFont="1" applyFill="1" applyBorder="1" applyAlignment="1">
      <alignment horizontal="center" vertical="center" wrapText="1"/>
    </xf>
    <xf numFmtId="0" fontId="15" fillId="3" borderId="24" xfId="0" applyFont="1" applyFill="1" applyBorder="1"/>
    <xf numFmtId="0" fontId="16" fillId="3" borderId="8" xfId="0" applyFont="1" applyFill="1" applyBorder="1" applyAlignment="1">
      <alignment horizontal="center" vertical="center" wrapText="1"/>
    </xf>
    <xf numFmtId="0" fontId="14" fillId="3" borderId="22" xfId="1" applyFont="1" applyFill="1" applyBorder="1" applyAlignment="1">
      <alignment horizontal="center" vertical="center" wrapText="1"/>
    </xf>
    <xf numFmtId="0" fontId="15" fillId="3" borderId="23" xfId="0" applyFont="1" applyFill="1" applyBorder="1"/>
    <xf numFmtId="0" fontId="14" fillId="0" borderId="25" xfId="1" applyFont="1" applyBorder="1" applyAlignment="1">
      <alignment horizontal="center" vertical="center" wrapText="1"/>
    </xf>
    <xf numFmtId="0" fontId="16" fillId="0" borderId="8" xfId="0" applyFont="1" applyFill="1" applyBorder="1" applyAlignment="1">
      <alignment horizontal="center" vertical="center" wrapText="1"/>
    </xf>
    <xf numFmtId="0" fontId="14" fillId="0" borderId="28" xfId="1" applyFont="1" applyBorder="1" applyAlignment="1">
      <alignment horizontal="center" vertical="center" wrapText="1"/>
    </xf>
    <xf numFmtId="0" fontId="7" fillId="13" borderId="32" xfId="0" applyFont="1" applyFill="1" applyBorder="1" applyAlignment="1">
      <alignment horizontal="left" vertical="center"/>
    </xf>
    <xf numFmtId="2" fontId="8" fillId="13" borderId="32" xfId="0" applyNumberFormat="1" applyFont="1" applyFill="1" applyBorder="1" applyAlignment="1">
      <alignment horizontal="center" vertical="center"/>
    </xf>
    <xf numFmtId="1" fontId="8" fillId="13" borderId="32" xfId="0" applyNumberFormat="1" applyFont="1" applyFill="1" applyBorder="1" applyAlignment="1">
      <alignment horizontal="center" vertical="center"/>
    </xf>
    <xf numFmtId="3" fontId="7" fillId="13" borderId="32" xfId="0" applyNumberFormat="1" applyFont="1" applyFill="1" applyBorder="1" applyAlignment="1">
      <alignment horizontal="center" vertical="center"/>
    </xf>
    <xf numFmtId="0" fontId="7" fillId="13" borderId="32" xfId="0" applyFont="1" applyFill="1" applyBorder="1" applyAlignment="1">
      <alignment horizontal="center" vertical="center"/>
    </xf>
    <xf numFmtId="0" fontId="7" fillId="13" borderId="11" xfId="0" applyFont="1" applyFill="1" applyBorder="1" applyAlignment="1">
      <alignment horizontal="center" vertical="center"/>
    </xf>
    <xf numFmtId="0" fontId="7" fillId="13" borderId="8" xfId="0" applyFont="1" applyFill="1" applyBorder="1" applyAlignment="1">
      <alignment horizontal="center" vertical="center"/>
    </xf>
    <xf numFmtId="14" fontId="7" fillId="13" borderId="8" xfId="0" applyNumberFormat="1" applyFont="1" applyFill="1" applyBorder="1" applyAlignment="1">
      <alignment horizontal="center" vertical="center"/>
    </xf>
    <xf numFmtId="0" fontId="14" fillId="13" borderId="8" xfId="1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left" vertical="center"/>
    </xf>
    <xf numFmtId="2" fontId="8" fillId="13" borderId="4" xfId="0" applyNumberFormat="1" applyFont="1" applyFill="1" applyBorder="1" applyAlignment="1">
      <alignment horizontal="center" vertical="center"/>
    </xf>
    <xf numFmtId="1" fontId="8" fillId="13" borderId="4" xfId="0" applyNumberFormat="1" applyFont="1" applyFill="1" applyBorder="1" applyAlignment="1">
      <alignment horizontal="center" vertical="center"/>
    </xf>
    <xf numFmtId="3" fontId="7" fillId="13" borderId="4" xfId="0" applyNumberFormat="1" applyFont="1" applyFill="1" applyBorder="1" applyAlignment="1">
      <alignment horizontal="center" vertical="center"/>
    </xf>
    <xf numFmtId="0" fontId="7" fillId="13" borderId="4" xfId="0" applyFont="1" applyFill="1" applyBorder="1" applyAlignment="1">
      <alignment horizontal="center" vertical="center"/>
    </xf>
    <xf numFmtId="0" fontId="7" fillId="13" borderId="30" xfId="0" applyFont="1" applyFill="1" applyBorder="1" applyAlignment="1">
      <alignment horizontal="center" vertical="center"/>
    </xf>
    <xf numFmtId="0" fontId="7" fillId="13" borderId="25" xfId="0" applyFont="1" applyFill="1" applyBorder="1" applyAlignment="1">
      <alignment horizontal="center" vertical="center"/>
    </xf>
    <xf numFmtId="0" fontId="16" fillId="13" borderId="25" xfId="0" applyFont="1" applyFill="1" applyBorder="1" applyAlignment="1">
      <alignment horizontal="center" vertical="center" wrapText="1"/>
    </xf>
    <xf numFmtId="0" fontId="7" fillId="13" borderId="31" xfId="0" applyFont="1" applyFill="1" applyBorder="1" applyAlignment="1">
      <alignment horizontal="left" vertical="center"/>
    </xf>
    <xf numFmtId="2" fontId="8" fillId="13" borderId="31" xfId="0" applyNumberFormat="1" applyFont="1" applyFill="1" applyBorder="1" applyAlignment="1">
      <alignment horizontal="center" vertical="center"/>
    </xf>
    <xf numFmtId="1" fontId="8" fillId="13" borderId="31" xfId="0" applyNumberFormat="1" applyFont="1" applyFill="1" applyBorder="1" applyAlignment="1">
      <alignment horizontal="center" vertical="center"/>
    </xf>
    <xf numFmtId="3" fontId="7" fillId="13" borderId="31" xfId="0" applyNumberFormat="1" applyFont="1" applyFill="1" applyBorder="1" applyAlignment="1">
      <alignment horizontal="center" vertical="center"/>
    </xf>
    <xf numFmtId="0" fontId="7" fillId="13" borderId="31" xfId="0" applyFont="1" applyFill="1" applyBorder="1" applyAlignment="1">
      <alignment horizontal="center" vertical="center"/>
    </xf>
    <xf numFmtId="0" fontId="7" fillId="13" borderId="27" xfId="0" applyFont="1" applyFill="1" applyBorder="1" applyAlignment="1">
      <alignment horizontal="center" vertical="center"/>
    </xf>
    <xf numFmtId="0" fontId="7" fillId="13" borderId="22" xfId="0" applyFont="1" applyFill="1" applyBorder="1" applyAlignment="1">
      <alignment horizontal="center" vertical="center"/>
    </xf>
    <xf numFmtId="164" fontId="7" fillId="13" borderId="22" xfId="0" applyNumberFormat="1" applyFont="1" applyFill="1" applyBorder="1" applyAlignment="1">
      <alignment horizontal="center" vertical="center"/>
    </xf>
    <xf numFmtId="0" fontId="14" fillId="13" borderId="22" xfId="1" applyFont="1" applyFill="1" applyBorder="1" applyAlignment="1">
      <alignment horizontal="center" vertical="center" wrapText="1"/>
    </xf>
    <xf numFmtId="0" fontId="15" fillId="13" borderId="8" xfId="0" applyFont="1" applyFill="1" applyBorder="1"/>
    <xf numFmtId="0" fontId="16" fillId="13" borderId="8" xfId="0" applyFont="1" applyFill="1" applyBorder="1" applyAlignment="1">
      <alignment horizontal="center" vertical="center" wrapText="1"/>
    </xf>
    <xf numFmtId="164" fontId="7" fillId="13" borderId="25" xfId="0" applyNumberFormat="1" applyFont="1" applyFill="1" applyBorder="1" applyAlignment="1">
      <alignment horizontal="center" vertical="center"/>
    </xf>
    <xf numFmtId="0" fontId="15" fillId="13" borderId="25" xfId="0" applyFont="1" applyFill="1" applyBorder="1"/>
    <xf numFmtId="0" fontId="0" fillId="0" borderId="0" xfId="0"/>
    <xf numFmtId="0" fontId="1" fillId="14" borderId="41" xfId="0" applyFont="1" applyFill="1" applyBorder="1" applyAlignment="1">
      <alignment horizontal="center" wrapText="1"/>
    </xf>
    <xf numFmtId="0" fontId="1" fillId="14" borderId="40" xfId="0" applyFont="1" applyFill="1" applyBorder="1" applyAlignment="1">
      <alignment wrapText="1"/>
    </xf>
    <xf numFmtId="0" fontId="1" fillId="14" borderId="41" xfId="0" applyFont="1" applyFill="1" applyBorder="1" applyAlignment="1">
      <alignment wrapText="1"/>
    </xf>
    <xf numFmtId="0" fontId="1" fillId="14" borderId="42" xfId="0" applyFont="1" applyFill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3" fontId="1" fillId="0" borderId="2" xfId="0" applyNumberFormat="1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14" fontId="1" fillId="0" borderId="2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7" fillId="15" borderId="2" xfId="0" applyFont="1" applyFill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5" fillId="11" borderId="5" xfId="0" applyFont="1" applyFill="1" applyBorder="1" applyAlignment="1">
      <alignment horizontal="center" vertical="center" wrapText="1"/>
    </xf>
    <xf numFmtId="3" fontId="7" fillId="12" borderId="16" xfId="0" applyNumberFormat="1" applyFont="1" applyFill="1" applyBorder="1" applyAlignment="1">
      <alignment horizontal="center" vertical="center"/>
    </xf>
    <xf numFmtId="3" fontId="7" fillId="12" borderId="17" xfId="0" applyNumberFormat="1" applyFont="1" applyFill="1" applyBorder="1" applyAlignment="1">
      <alignment horizontal="center" vertical="center"/>
    </xf>
    <xf numFmtId="3" fontId="7" fillId="12" borderId="18" xfId="0" applyNumberFormat="1" applyFont="1" applyFill="1" applyBorder="1" applyAlignment="1">
      <alignment horizontal="center" vertical="center"/>
    </xf>
    <xf numFmtId="0" fontId="7" fillId="12" borderId="44" xfId="0" applyFont="1" applyFill="1" applyBorder="1" applyAlignment="1">
      <alignment horizontal="center" vertical="center"/>
    </xf>
    <xf numFmtId="0" fontId="7" fillId="12" borderId="45" xfId="0" applyFont="1" applyFill="1" applyBorder="1" applyAlignment="1">
      <alignment horizontal="center" vertical="center"/>
    </xf>
    <xf numFmtId="0" fontId="7" fillId="12" borderId="46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0" fillId="0" borderId="8" xfId="0" applyBorder="1"/>
    <xf numFmtId="0" fontId="4" fillId="0" borderId="8" xfId="0" applyFont="1" applyBorder="1" applyAlignment="1">
      <alignment horizontal="center" vertical="center" wrapText="1"/>
    </xf>
    <xf numFmtId="0" fontId="1" fillId="0" borderId="47" xfId="0" applyFont="1" applyBorder="1" applyAlignment="1">
      <alignment wrapText="1"/>
    </xf>
    <xf numFmtId="0" fontId="1" fillId="0" borderId="22" xfId="0" applyFont="1" applyBorder="1" applyAlignment="1">
      <alignment horizontal="center" vertical="center" wrapText="1"/>
    </xf>
    <xf numFmtId="0" fontId="0" fillId="0" borderId="23" xfId="0" applyBorder="1"/>
    <xf numFmtId="0" fontId="0" fillId="0" borderId="48" xfId="0" applyBorder="1"/>
    <xf numFmtId="0" fontId="0" fillId="0" borderId="24" xfId="0" applyBorder="1"/>
    <xf numFmtId="0" fontId="1" fillId="0" borderId="48" xfId="0" applyFont="1" applyBorder="1" applyAlignment="1">
      <alignment wrapText="1"/>
    </xf>
    <xf numFmtId="0" fontId="0" fillId="0" borderId="49" xfId="0" applyBorder="1"/>
    <xf numFmtId="0" fontId="0" fillId="0" borderId="25" xfId="0" applyBorder="1"/>
    <xf numFmtId="0" fontId="0" fillId="0" borderId="26" xfId="0" applyBorder="1"/>
    <xf numFmtId="0" fontId="0" fillId="0" borderId="0" xfId="0"/>
    <xf numFmtId="0" fontId="19" fillId="17" borderId="1" xfId="0" applyFont="1" applyFill="1" applyBorder="1" applyAlignment="1">
      <alignment horizontal="center" vertical="center" wrapText="1"/>
    </xf>
    <xf numFmtId="0" fontId="19" fillId="17" borderId="3" xfId="0" applyFont="1" applyFill="1" applyBorder="1" applyAlignment="1">
      <alignment horizontal="center" vertical="center" wrapText="1"/>
    </xf>
    <xf numFmtId="0" fontId="20" fillId="18" borderId="50" xfId="0" applyFont="1" applyFill="1" applyBorder="1" applyAlignment="1">
      <alignment vertical="center" wrapText="1"/>
    </xf>
    <xf numFmtId="0" fontId="20" fillId="19" borderId="50" xfId="0" applyFont="1" applyFill="1" applyBorder="1" applyAlignment="1">
      <alignment vertical="center" wrapText="1"/>
    </xf>
    <xf numFmtId="0" fontId="21" fillId="16" borderId="50" xfId="0" applyFont="1" applyFill="1" applyBorder="1" applyAlignment="1">
      <alignment vertical="center" wrapText="1"/>
    </xf>
    <xf numFmtId="0" fontId="20" fillId="18" borderId="50" xfId="0" applyFont="1" applyFill="1" applyBorder="1" applyAlignment="1">
      <alignment horizontal="center" vertical="center" wrapText="1"/>
    </xf>
    <xf numFmtId="0" fontId="23" fillId="20" borderId="51" xfId="0" applyFont="1" applyFill="1" applyBorder="1" applyAlignment="1">
      <alignment horizontal="left"/>
    </xf>
    <xf numFmtId="164" fontId="24" fillId="0" borderId="51" xfId="0" applyNumberFormat="1" applyFont="1" applyBorder="1" applyAlignment="1">
      <alignment horizontal="left"/>
    </xf>
    <xf numFmtId="0" fontId="25" fillId="0" borderId="51" xfId="0" applyFont="1" applyBorder="1" applyAlignment="1">
      <alignment horizontal="left"/>
    </xf>
    <xf numFmtId="164" fontId="25" fillId="0" borderId="51" xfId="0" applyNumberFormat="1" applyFont="1" applyBorder="1" applyAlignment="1">
      <alignment horizontal="left"/>
    </xf>
    <xf numFmtId="0" fontId="23" fillId="20" borderId="51" xfId="0" applyFont="1" applyFill="1" applyBorder="1" applyAlignment="1">
      <alignment horizontal="center"/>
    </xf>
    <xf numFmtId="0" fontId="25" fillId="21" borderId="51" xfId="0" applyFont="1" applyFill="1" applyBorder="1" applyAlignment="1">
      <alignment horizontal="center"/>
    </xf>
    <xf numFmtId="164" fontId="25" fillId="21" borderId="51" xfId="0" applyNumberFormat="1" applyFont="1" applyFill="1" applyBorder="1" applyAlignment="1">
      <alignment horizontal="center"/>
    </xf>
    <xf numFmtId="0" fontId="25" fillId="21" borderId="51" xfId="0" applyFont="1" applyFill="1" applyBorder="1" applyAlignment="1">
      <alignment horizontal="left"/>
    </xf>
    <xf numFmtId="0" fontId="25" fillId="0" borderId="51" xfId="0" applyFont="1" applyBorder="1" applyAlignment="1">
      <alignment horizontal="center"/>
    </xf>
    <xf numFmtId="164" fontId="25" fillId="0" borderId="51" xfId="0" applyNumberFormat="1" applyFont="1" applyBorder="1" applyAlignment="1">
      <alignment horizontal="center"/>
    </xf>
    <xf numFmtId="0" fontId="25" fillId="21" borderId="51" xfId="0" applyFont="1" applyFill="1" applyBorder="1"/>
    <xf numFmtId="0" fontId="25" fillId="0" borderId="51" xfId="0" applyFont="1" applyBorder="1"/>
    <xf numFmtId="166" fontId="9" fillId="22" borderId="51" xfId="0" applyNumberFormat="1" applyFont="1" applyFill="1" applyBorder="1" applyAlignment="1">
      <alignment horizontal="center"/>
    </xf>
    <xf numFmtId="0" fontId="0" fillId="23" borderId="51" xfId="0" applyFill="1" applyBorder="1"/>
    <xf numFmtId="0" fontId="25" fillId="23" borderId="51" xfId="0" applyFont="1" applyFill="1" applyBorder="1"/>
    <xf numFmtId="0" fontId="0" fillId="23" borderId="51" xfId="0" applyFill="1" applyBorder="1" applyAlignment="1">
      <alignment horizontal="center"/>
    </xf>
    <xf numFmtId="0" fontId="0" fillId="0" borderId="51" xfId="0" applyBorder="1"/>
    <xf numFmtId="0" fontId="0" fillId="0" borderId="51" xfId="0" applyBorder="1" applyAlignment="1">
      <alignment horizontal="center"/>
    </xf>
    <xf numFmtId="0" fontId="0" fillId="0" borderId="0" xfId="0"/>
    <xf numFmtId="0" fontId="0" fillId="24" borderId="33" xfId="0" applyFill="1" applyBorder="1"/>
    <xf numFmtId="0" fontId="0" fillId="24" borderId="10" xfId="0" applyFill="1" applyBorder="1"/>
    <xf numFmtId="0" fontId="0" fillId="24" borderId="53" xfId="0" applyFill="1" applyBorder="1"/>
    <xf numFmtId="0" fontId="0" fillId="24" borderId="14" xfId="0" applyFill="1" applyBorder="1"/>
    <xf numFmtId="0" fontId="0" fillId="24" borderId="0" xfId="0" applyFill="1" applyBorder="1"/>
    <xf numFmtId="0" fontId="0" fillId="24" borderId="34" xfId="0" applyFill="1" applyBorder="1"/>
    <xf numFmtId="0" fontId="0" fillId="24" borderId="54" xfId="0" applyFill="1" applyBorder="1"/>
    <xf numFmtId="0" fontId="0" fillId="24" borderId="9" xfId="0" applyFill="1" applyBorder="1"/>
    <xf numFmtId="0" fontId="0" fillId="24" borderId="55" xfId="0" applyFill="1" applyBorder="1"/>
    <xf numFmtId="0" fontId="0" fillId="24" borderId="43" xfId="0" applyFill="1" applyBorder="1"/>
    <xf numFmtId="0" fontId="0" fillId="24" borderId="12" xfId="0" applyFill="1" applyBorder="1"/>
    <xf numFmtId="0" fontId="0" fillId="0" borderId="0" xfId="0"/>
    <xf numFmtId="0" fontId="0" fillId="24" borderId="56" xfId="0" applyFill="1" applyBorder="1"/>
    <xf numFmtId="0" fontId="0" fillId="24" borderId="57" xfId="0" applyFill="1" applyBorder="1"/>
    <xf numFmtId="0" fontId="0" fillId="0" borderId="43" xfId="0" applyBorder="1"/>
    <xf numFmtId="0" fontId="0" fillId="0" borderId="55" xfId="0" applyBorder="1"/>
    <xf numFmtId="0" fontId="0" fillId="0" borderId="14" xfId="0" applyBorder="1"/>
    <xf numFmtId="0" fontId="0" fillId="24" borderId="8" xfId="0" applyFill="1" applyBorder="1"/>
    <xf numFmtId="0" fontId="0" fillId="24" borderId="60" xfId="0" applyFill="1" applyBorder="1"/>
    <xf numFmtId="0" fontId="0" fillId="24" borderId="5" xfId="0" applyFill="1" applyBorder="1"/>
    <xf numFmtId="0" fontId="0" fillId="24" borderId="48" xfId="0" applyFill="1" applyBorder="1"/>
    <xf numFmtId="0" fontId="0" fillId="24" borderId="49" xfId="0" applyFill="1" applyBorder="1"/>
    <xf numFmtId="0" fontId="0" fillId="24" borderId="61" xfId="0" applyFill="1" applyBorder="1"/>
    <xf numFmtId="0" fontId="0" fillId="0" borderId="0" xfId="0" applyBorder="1"/>
    <xf numFmtId="0" fontId="0" fillId="24" borderId="28" xfId="0" applyFill="1" applyBorder="1"/>
    <xf numFmtId="0" fontId="0" fillId="24" borderId="58" xfId="0" applyFill="1" applyBorder="1" applyAlignment="1"/>
    <xf numFmtId="0" fontId="0" fillId="24" borderId="59" xfId="0" applyFill="1" applyBorder="1" applyAlignment="1"/>
    <xf numFmtId="164" fontId="24" fillId="0" borderId="62" xfId="0" applyNumberFormat="1" applyFont="1" applyBorder="1" applyAlignment="1">
      <alignment horizontal="left"/>
    </xf>
    <xf numFmtId="0" fontId="25" fillId="0" borderId="63" xfId="0" applyFont="1" applyBorder="1" applyAlignment="1">
      <alignment horizontal="left"/>
    </xf>
    <xf numFmtId="0" fontId="24" fillId="0" borderId="63" xfId="0" applyFont="1" applyBorder="1" applyAlignment="1">
      <alignment horizontal="left"/>
    </xf>
    <xf numFmtId="165" fontId="25" fillId="0" borderId="63" xfId="0" applyNumberFormat="1" applyFont="1" applyBorder="1" applyAlignment="1">
      <alignment horizontal="left"/>
    </xf>
    <xf numFmtId="1" fontId="25" fillId="0" borderId="63" xfId="0" applyNumberFormat="1" applyFont="1" applyBorder="1" applyAlignment="1">
      <alignment horizontal="left"/>
    </xf>
    <xf numFmtId="164" fontId="25" fillId="0" borderId="63" xfId="0" applyNumberFormat="1" applyFont="1" applyBorder="1" applyAlignment="1">
      <alignment horizontal="left"/>
    </xf>
    <xf numFmtId="0" fontId="25" fillId="0" borderId="64" xfId="0" applyFont="1" applyBorder="1" applyAlignment="1">
      <alignment horizontal="left"/>
    </xf>
    <xf numFmtId="0" fontId="23" fillId="20" borderId="65" xfId="0" applyFont="1" applyFill="1" applyBorder="1" applyAlignment="1">
      <alignment horizontal="left"/>
    </xf>
    <xf numFmtId="0" fontId="23" fillId="20" borderId="66" xfId="0" applyFont="1" applyFill="1" applyBorder="1" applyAlignment="1">
      <alignment horizontal="left"/>
    </xf>
    <xf numFmtId="0" fontId="23" fillId="20" borderId="67" xfId="0" applyFont="1" applyFill="1" applyBorder="1" applyAlignment="1">
      <alignment horizontal="left"/>
    </xf>
    <xf numFmtId="0" fontId="26" fillId="24" borderId="5" xfId="0" applyFont="1" applyFill="1" applyBorder="1"/>
    <xf numFmtId="0" fontId="26" fillId="24" borderId="56" xfId="0" applyFont="1" applyFill="1" applyBorder="1"/>
    <xf numFmtId="0" fontId="0" fillId="24" borderId="69" xfId="0" applyFill="1" applyBorder="1"/>
    <xf numFmtId="0" fontId="0" fillId="24" borderId="70" xfId="0" applyFill="1" applyBorder="1"/>
    <xf numFmtId="0" fontId="26" fillId="24" borderId="68" xfId="0" applyFont="1" applyFill="1" applyBorder="1"/>
    <xf numFmtId="0" fontId="26" fillId="24" borderId="34" xfId="0" applyFont="1" applyFill="1" applyBorder="1"/>
    <xf numFmtId="0" fontId="26" fillId="24" borderId="54" xfId="0" applyFont="1" applyFill="1" applyBorder="1"/>
    <xf numFmtId="0" fontId="29" fillId="24" borderId="28" xfId="0" applyFont="1" applyFill="1" applyBorder="1"/>
    <xf numFmtId="0" fontId="15" fillId="24" borderId="37" xfId="0" applyFont="1" applyFill="1" applyBorder="1"/>
    <xf numFmtId="0" fontId="15" fillId="24" borderId="24" xfId="0" applyFont="1" applyFill="1" applyBorder="1"/>
    <xf numFmtId="0" fontId="28" fillId="24" borderId="34" xfId="0" applyFont="1" applyFill="1" applyBorder="1"/>
    <xf numFmtId="0" fontId="28" fillId="24" borderId="54" xfId="0" applyFont="1" applyFill="1" applyBorder="1"/>
    <xf numFmtId="0" fontId="26" fillId="24" borderId="61" xfId="0" applyFont="1" applyFill="1" applyBorder="1"/>
    <xf numFmtId="0" fontId="26" fillId="24" borderId="9" xfId="0" applyFont="1" applyFill="1" applyBorder="1"/>
    <xf numFmtId="0" fontId="26" fillId="24" borderId="0" xfId="0" applyFont="1" applyFill="1" applyBorder="1"/>
    <xf numFmtId="0" fontId="26" fillId="24" borderId="55" xfId="0" applyFont="1" applyFill="1" applyBorder="1"/>
    <xf numFmtId="0" fontId="15" fillId="24" borderId="10" xfId="0" applyFont="1" applyFill="1" applyBorder="1"/>
    <xf numFmtId="0" fontId="15" fillId="24" borderId="12" xfId="0" applyFont="1" applyFill="1" applyBorder="1"/>
    <xf numFmtId="0" fontId="15" fillId="24" borderId="14" xfId="0" applyFont="1" applyFill="1" applyBorder="1"/>
    <xf numFmtId="0" fontId="29" fillId="24" borderId="34" xfId="0" applyFont="1" applyFill="1" applyBorder="1"/>
    <xf numFmtId="0" fontId="15" fillId="24" borderId="61" xfId="0" applyFont="1" applyFill="1" applyBorder="1"/>
    <xf numFmtId="0" fontId="15" fillId="24" borderId="54" xfId="0" applyFont="1" applyFill="1" applyBorder="1"/>
    <xf numFmtId="0" fontId="29" fillId="24" borderId="61" xfId="0" applyFont="1" applyFill="1" applyBorder="1"/>
    <xf numFmtId="0" fontId="29" fillId="24" borderId="54" xfId="0" applyFont="1" applyFill="1" applyBorder="1"/>
    <xf numFmtId="0" fontId="30" fillId="24" borderId="34" xfId="0" applyFont="1" applyFill="1" applyBorder="1"/>
    <xf numFmtId="0" fontId="30" fillId="24" borderId="61" xfId="0" applyFont="1" applyFill="1" applyBorder="1"/>
    <xf numFmtId="0" fontId="0" fillId="24" borderId="24" xfId="0" applyFill="1" applyBorder="1"/>
    <xf numFmtId="0" fontId="0" fillId="24" borderId="25" xfId="0" applyFill="1" applyBorder="1"/>
    <xf numFmtId="0" fontId="0" fillId="24" borderId="26" xfId="0" applyFill="1" applyBorder="1"/>
    <xf numFmtId="0" fontId="26" fillId="24" borderId="47" xfId="0" applyFont="1" applyFill="1" applyBorder="1"/>
    <xf numFmtId="0" fontId="26" fillId="24" borderId="8" xfId="0" applyFont="1" applyFill="1" applyBorder="1"/>
    <xf numFmtId="0" fontId="30" fillId="24" borderId="11" xfId="0" applyFont="1" applyFill="1" applyBorder="1" applyAlignment="1"/>
    <xf numFmtId="0" fontId="0" fillId="0" borderId="0" xfId="0"/>
    <xf numFmtId="0" fontId="0" fillId="0" borderId="8" xfId="0" applyBorder="1" applyAlignment="1">
      <alignment horizontal="center" vertical="center"/>
    </xf>
    <xf numFmtId="0" fontId="0" fillId="0" borderId="73" xfId="0" applyFill="1" applyBorder="1" applyAlignment="1">
      <alignment horizontal="center" vertical="center"/>
    </xf>
    <xf numFmtId="0" fontId="10" fillId="12" borderId="61" xfId="0" applyFont="1" applyFill="1" applyBorder="1" applyAlignment="1">
      <alignment horizontal="center" vertical="center"/>
    </xf>
    <xf numFmtId="0" fontId="0" fillId="24" borderId="23" xfId="0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0" fillId="24" borderId="0" xfId="0" applyFill="1" applyBorder="1" applyAlignment="1">
      <alignment horizontal="center"/>
    </xf>
    <xf numFmtId="0" fontId="0" fillId="24" borderId="0" xfId="0" applyFill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0" fillId="0" borderId="47" xfId="0" applyBorder="1"/>
    <xf numFmtId="0" fontId="0" fillId="0" borderId="22" xfId="0" applyBorder="1"/>
    <xf numFmtId="0" fontId="0" fillId="0" borderId="22" xfId="0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31" fillId="12" borderId="16" xfId="0" applyFont="1" applyFill="1" applyBorder="1" applyAlignment="1">
      <alignment horizontal="center" vertical="center"/>
    </xf>
    <xf numFmtId="0" fontId="0" fillId="0" borderId="27" xfId="0" applyBorder="1"/>
    <xf numFmtId="0" fontId="0" fillId="0" borderId="11" xfId="0" applyBorder="1"/>
    <xf numFmtId="0" fontId="0" fillId="0" borderId="30" xfId="0" applyBorder="1"/>
    <xf numFmtId="0" fontId="0" fillId="0" borderId="23" xfId="0" applyBorder="1" applyAlignment="1">
      <alignment horizontal="center" vertical="center"/>
    </xf>
    <xf numFmtId="1" fontId="8" fillId="25" borderId="18" xfId="0" applyNumberFormat="1" applyFont="1" applyFill="1" applyBorder="1" applyAlignment="1">
      <alignment horizontal="center" vertical="center"/>
    </xf>
    <xf numFmtId="1" fontId="8" fillId="25" borderId="32" xfId="0" applyNumberFormat="1" applyFont="1" applyFill="1" applyBorder="1" applyAlignment="1">
      <alignment horizontal="center" vertical="center"/>
    </xf>
    <xf numFmtId="0" fontId="0" fillId="0" borderId="74" xfId="0" applyBorder="1"/>
    <xf numFmtId="0" fontId="0" fillId="0" borderId="75" xfId="0" applyBorder="1"/>
    <xf numFmtId="0" fontId="0" fillId="0" borderId="28" xfId="0" applyBorder="1"/>
    <xf numFmtId="0" fontId="0" fillId="0" borderId="37" xfId="0" applyBorder="1"/>
    <xf numFmtId="0" fontId="0" fillId="0" borderId="25" xfId="0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0" fontId="0" fillId="0" borderId="4" xfId="0" applyBorder="1"/>
    <xf numFmtId="0" fontId="0" fillId="0" borderId="36" xfId="0" applyBorder="1"/>
    <xf numFmtId="0" fontId="0" fillId="0" borderId="29" xfId="0" applyBorder="1"/>
    <xf numFmtId="0" fontId="0" fillId="0" borderId="5" xfId="0" applyBorder="1"/>
    <xf numFmtId="0" fontId="0" fillId="0" borderId="76" xfId="0" applyBorder="1"/>
    <xf numFmtId="0" fontId="0" fillId="0" borderId="77" xfId="0" applyBorder="1"/>
    <xf numFmtId="0" fontId="0" fillId="0" borderId="77" xfId="0" applyBorder="1" applyAlignment="1">
      <alignment horizontal="center" vertical="center"/>
    </xf>
    <xf numFmtId="0" fontId="0" fillId="0" borderId="78" xfId="0" applyFill="1" applyBorder="1" applyAlignment="1">
      <alignment horizontal="center" vertical="center"/>
    </xf>
    <xf numFmtId="0" fontId="0" fillId="0" borderId="57" xfId="0" applyBorder="1"/>
    <xf numFmtId="0" fontId="0" fillId="0" borderId="79" xfId="0" applyBorder="1"/>
    <xf numFmtId="0" fontId="0" fillId="0" borderId="80" xfId="0" applyBorder="1"/>
    <xf numFmtId="0" fontId="0" fillId="0" borderId="81" xfId="0" applyBorder="1"/>
    <xf numFmtId="0" fontId="0" fillId="0" borderId="28" xfId="0" applyBorder="1" applyAlignment="1">
      <alignment horizontal="center" vertical="center"/>
    </xf>
    <xf numFmtId="0" fontId="0" fillId="24" borderId="9" xfId="0" applyFill="1" applyBorder="1" applyAlignment="1">
      <alignment horizontal="center" vertical="center"/>
    </xf>
    <xf numFmtId="0" fontId="0" fillId="24" borderId="55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30" fillId="3" borderId="28" xfId="0" applyFont="1" applyFill="1" applyBorder="1"/>
    <xf numFmtId="0" fontId="26" fillId="3" borderId="28" xfId="0" applyFont="1" applyFill="1" applyBorder="1" applyAlignment="1">
      <alignment horizontal="center" vertical="center"/>
    </xf>
    <xf numFmtId="0" fontId="30" fillId="3" borderId="25" xfId="0" applyFont="1" applyFill="1" applyBorder="1" applyAlignment="1">
      <alignment horizontal="center" vertical="center"/>
    </xf>
    <xf numFmtId="0" fontId="32" fillId="3" borderId="25" xfId="0" applyFont="1" applyFill="1" applyBorder="1" applyAlignment="1">
      <alignment horizontal="center" vertical="center"/>
    </xf>
    <xf numFmtId="0" fontId="32" fillId="3" borderId="22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32" fillId="0" borderId="8" xfId="0" applyFont="1" applyBorder="1" applyAlignment="1">
      <alignment horizontal="center"/>
    </xf>
    <xf numFmtId="0" fontId="13" fillId="0" borderId="8" xfId="0" applyFont="1" applyFill="1" applyBorder="1" applyAlignment="1">
      <alignment horizontal="center" vertical="center" wrapText="1"/>
    </xf>
    <xf numFmtId="0" fontId="30" fillId="3" borderId="8" xfId="0" applyFont="1" applyFill="1" applyBorder="1"/>
    <xf numFmtId="0" fontId="38" fillId="3" borderId="8" xfId="1" applyFont="1" applyFill="1" applyBorder="1" applyAlignment="1">
      <alignment horizontal="center" vertical="center" wrapText="1"/>
    </xf>
    <xf numFmtId="0" fontId="30" fillId="3" borderId="25" xfId="0" applyFont="1" applyFill="1" applyBorder="1"/>
    <xf numFmtId="0" fontId="38" fillId="0" borderId="8" xfId="1" applyFont="1" applyBorder="1" applyAlignment="1">
      <alignment horizontal="center" vertical="center" wrapText="1"/>
    </xf>
    <xf numFmtId="0" fontId="30" fillId="0" borderId="8" xfId="0" applyFont="1" applyBorder="1"/>
    <xf numFmtId="0" fontId="38" fillId="0" borderId="25" xfId="1" applyFont="1" applyBorder="1" applyAlignment="1">
      <alignment horizontal="center" vertical="center" wrapText="1"/>
    </xf>
    <xf numFmtId="0" fontId="38" fillId="0" borderId="22" xfId="1" applyFont="1" applyBorder="1" applyAlignment="1">
      <alignment horizontal="center" vertical="center" wrapText="1"/>
    </xf>
    <xf numFmtId="0" fontId="32" fillId="3" borderId="8" xfId="0" applyFont="1" applyFill="1" applyBorder="1" applyAlignment="1">
      <alignment horizontal="center"/>
    </xf>
    <xf numFmtId="0" fontId="26" fillId="13" borderId="8" xfId="0" applyFont="1" applyFill="1" applyBorder="1" applyAlignment="1">
      <alignment horizontal="center" vertical="center"/>
    </xf>
    <xf numFmtId="0" fontId="0" fillId="0" borderId="13" xfId="0" applyBorder="1"/>
    <xf numFmtId="0" fontId="0" fillId="0" borderId="82" xfId="0" applyBorder="1"/>
    <xf numFmtId="0" fontId="0" fillId="0" borderId="69" xfId="0" applyBorder="1"/>
    <xf numFmtId="0" fontId="0" fillId="0" borderId="83" xfId="0" applyBorder="1"/>
    <xf numFmtId="0" fontId="0" fillId="0" borderId="84" xfId="0" applyBorder="1"/>
    <xf numFmtId="0" fontId="0" fillId="13" borderId="47" xfId="0" applyFill="1" applyBorder="1"/>
    <xf numFmtId="0" fontId="28" fillId="0" borderId="8" xfId="0" applyFont="1" applyBorder="1"/>
    <xf numFmtId="0" fontId="0" fillId="0" borderId="25" xfId="0" applyBorder="1" applyAlignment="1">
      <alignment horizontal="center"/>
    </xf>
    <xf numFmtId="0" fontId="0" fillId="13" borderId="5" xfId="0" applyFill="1" applyBorder="1"/>
    <xf numFmtId="0" fontId="0" fillId="13" borderId="76" xfId="0" applyFill="1" applyBorder="1" applyAlignment="1">
      <alignment horizontal="center" vertical="center"/>
    </xf>
    <xf numFmtId="0" fontId="0" fillId="13" borderId="77" xfId="0" applyFill="1" applyBorder="1"/>
    <xf numFmtId="0" fontId="0" fillId="13" borderId="77" xfId="0" applyFill="1" applyBorder="1" applyAlignment="1">
      <alignment horizontal="center" vertical="center"/>
    </xf>
    <xf numFmtId="0" fontId="0" fillId="13" borderId="78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24" borderId="22" xfId="0" applyFill="1" applyBorder="1" applyAlignment="1">
      <alignment horizontal="center" vertical="center"/>
    </xf>
    <xf numFmtId="0" fontId="0" fillId="0" borderId="49" xfId="0" applyFill="1" applyBorder="1"/>
    <xf numFmtId="0" fontId="26" fillId="13" borderId="47" xfId="0" applyFont="1" applyFill="1" applyBorder="1"/>
    <xf numFmtId="0" fontId="26" fillId="13" borderId="22" xfId="0" applyFont="1" applyFill="1" applyBorder="1"/>
    <xf numFmtId="0" fontId="26" fillId="13" borderId="22" xfId="0" applyFont="1" applyFill="1" applyBorder="1" applyAlignment="1">
      <alignment horizontal="center" vertical="center"/>
    </xf>
    <xf numFmtId="0" fontId="26" fillId="13" borderId="23" xfId="0" applyFont="1" applyFill="1" applyBorder="1" applyAlignment="1">
      <alignment horizontal="center" vertical="center"/>
    </xf>
    <xf numFmtId="0" fontId="26" fillId="13" borderId="28" xfId="0" applyFont="1" applyFill="1" applyBorder="1"/>
    <xf numFmtId="0" fontId="0" fillId="0" borderId="23" xfId="0" applyBorder="1" applyAlignment="1">
      <alignment horizontal="left" vertical="center"/>
    </xf>
    <xf numFmtId="0" fontId="0" fillId="0" borderId="83" xfId="0" applyFill="1" applyBorder="1" applyAlignment="1">
      <alignment horizontal="center" vertical="center"/>
    </xf>
    <xf numFmtId="0" fontId="0" fillId="0" borderId="70" xfId="0" applyBorder="1"/>
    <xf numFmtId="0" fontId="0" fillId="0" borderId="54" xfId="0" applyBorder="1"/>
    <xf numFmtId="0" fontId="0" fillId="0" borderId="83" xfId="0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13" borderId="31" xfId="0" applyFill="1" applyBorder="1"/>
    <xf numFmtId="0" fontId="0" fillId="13" borderId="57" xfId="0" applyFill="1" applyBorder="1"/>
    <xf numFmtId="0" fontId="0" fillId="13" borderId="76" xfId="0" applyFill="1" applyBorder="1"/>
    <xf numFmtId="0" fontId="0" fillId="13" borderId="32" xfId="0" applyFill="1" applyBorder="1"/>
    <xf numFmtId="0" fontId="0" fillId="13" borderId="79" xfId="0" applyFill="1" applyBorder="1"/>
    <xf numFmtId="0" fontId="37" fillId="13" borderId="29" xfId="0" applyFont="1" applyFill="1" applyBorder="1"/>
    <xf numFmtId="0" fontId="0" fillId="13" borderId="28" xfId="0" applyFill="1" applyBorder="1"/>
    <xf numFmtId="0" fontId="0" fillId="13" borderId="37" xfId="0" applyFill="1" applyBorder="1"/>
    <xf numFmtId="0" fontId="0" fillId="13" borderId="11" xfId="0" applyFill="1" applyBorder="1"/>
    <xf numFmtId="0" fontId="0" fillId="13" borderId="8" xfId="0" applyFill="1" applyBorder="1"/>
    <xf numFmtId="0" fontId="0" fillId="13" borderId="24" xfId="0" applyFill="1" applyBorder="1"/>
    <xf numFmtId="0" fontId="0" fillId="26" borderId="31" xfId="0" applyFill="1" applyBorder="1"/>
    <xf numFmtId="0" fontId="0" fillId="26" borderId="57" xfId="0" applyFill="1" applyBorder="1"/>
    <xf numFmtId="0" fontId="0" fillId="26" borderId="76" xfId="0" applyFill="1" applyBorder="1"/>
    <xf numFmtId="0" fontId="0" fillId="26" borderId="77" xfId="0" applyFill="1" applyBorder="1"/>
    <xf numFmtId="0" fontId="0" fillId="26" borderId="77" xfId="0" applyFill="1" applyBorder="1" applyAlignment="1">
      <alignment horizontal="center" vertical="center"/>
    </xf>
    <xf numFmtId="0" fontId="0" fillId="26" borderId="78" xfId="0" applyFill="1" applyBorder="1" applyAlignment="1">
      <alignment horizontal="center" vertical="center"/>
    </xf>
    <xf numFmtId="0" fontId="0" fillId="26" borderId="32" xfId="0" applyFill="1" applyBorder="1"/>
    <xf numFmtId="0" fontId="0" fillId="26" borderId="79" xfId="0" applyFill="1" applyBorder="1"/>
    <xf numFmtId="0" fontId="37" fillId="26" borderId="29" xfId="0" applyFont="1" applyFill="1" applyBorder="1"/>
    <xf numFmtId="0" fontId="0" fillId="26" borderId="28" xfId="0" applyFill="1" applyBorder="1"/>
    <xf numFmtId="0" fontId="0" fillId="26" borderId="37" xfId="0" applyFill="1" applyBorder="1"/>
    <xf numFmtId="0" fontId="0" fillId="26" borderId="11" xfId="0" applyFill="1" applyBorder="1"/>
    <xf numFmtId="0" fontId="0" fillId="26" borderId="8" xfId="0" applyFill="1" applyBorder="1"/>
    <xf numFmtId="0" fontId="0" fillId="26" borderId="24" xfId="0" applyFill="1" applyBorder="1"/>
    <xf numFmtId="0" fontId="0" fillId="27" borderId="31" xfId="0" applyFill="1" applyBorder="1"/>
    <xf numFmtId="0" fontId="0" fillId="27" borderId="57" xfId="0" applyFill="1" applyBorder="1"/>
    <xf numFmtId="0" fontId="0" fillId="27" borderId="76" xfId="0" applyFill="1" applyBorder="1"/>
    <xf numFmtId="0" fontId="0" fillId="27" borderId="77" xfId="0" applyFill="1" applyBorder="1"/>
    <xf numFmtId="0" fontId="0" fillId="27" borderId="77" xfId="0" applyFill="1" applyBorder="1" applyAlignment="1">
      <alignment horizontal="center" vertical="center"/>
    </xf>
    <xf numFmtId="0" fontId="0" fillId="27" borderId="78" xfId="0" applyFill="1" applyBorder="1" applyAlignment="1">
      <alignment horizontal="center" vertical="center"/>
    </xf>
    <xf numFmtId="0" fontId="0" fillId="27" borderId="32" xfId="0" applyFill="1" applyBorder="1"/>
    <xf numFmtId="0" fontId="0" fillId="27" borderId="79" xfId="0" applyFill="1" applyBorder="1"/>
    <xf numFmtId="0" fontId="37" fillId="27" borderId="29" xfId="0" applyFont="1" applyFill="1" applyBorder="1"/>
    <xf numFmtId="0" fontId="0" fillId="27" borderId="28" xfId="0" applyFill="1" applyBorder="1"/>
    <xf numFmtId="0" fontId="0" fillId="27" borderId="37" xfId="0" applyFill="1" applyBorder="1"/>
    <xf numFmtId="0" fontId="0" fillId="27" borderId="11" xfId="0" applyFill="1" applyBorder="1"/>
    <xf numFmtId="0" fontId="0" fillId="27" borderId="8" xfId="0" applyFill="1" applyBorder="1"/>
    <xf numFmtId="0" fontId="0" fillId="27" borderId="24" xfId="0" applyFill="1" applyBorder="1"/>
    <xf numFmtId="0" fontId="39" fillId="0" borderId="0" xfId="0" applyFont="1"/>
    <xf numFmtId="0" fontId="0" fillId="0" borderId="56" xfId="0" applyBorder="1"/>
    <xf numFmtId="0" fontId="41" fillId="0" borderId="8" xfId="0" applyFont="1" applyBorder="1" applyAlignment="1">
      <alignment horizontal="center" vertical="center"/>
    </xf>
    <xf numFmtId="0" fontId="44" fillId="0" borderId="5" xfId="0" applyFont="1" applyBorder="1"/>
    <xf numFmtId="0" fontId="0" fillId="24" borderId="84" xfId="0" applyFill="1" applyBorder="1"/>
    <xf numFmtId="0" fontId="40" fillId="0" borderId="78" xfId="0" applyFont="1" applyBorder="1"/>
    <xf numFmtId="0" fontId="33" fillId="0" borderId="84" xfId="0" applyFont="1" applyBorder="1"/>
    <xf numFmtId="0" fontId="44" fillId="0" borderId="78" xfId="0" applyFont="1" applyBorder="1"/>
    <xf numFmtId="0" fontId="41" fillId="0" borderId="78" xfId="0" applyFont="1" applyBorder="1"/>
    <xf numFmtId="0" fontId="45" fillId="0" borderId="84" xfId="0" applyFont="1" applyBorder="1"/>
    <xf numFmtId="0" fontId="43" fillId="0" borderId="78" xfId="0" applyFont="1" applyBorder="1"/>
    <xf numFmtId="0" fontId="42" fillId="0" borderId="56" xfId="0" applyFont="1" applyBorder="1"/>
    <xf numFmtId="0" fontId="41" fillId="0" borderId="57" xfId="0" applyFont="1" applyBorder="1"/>
    <xf numFmtId="0" fontId="33" fillId="13" borderId="56" xfId="0" applyFont="1" applyFill="1" applyBorder="1"/>
    <xf numFmtId="0" fontId="44" fillId="13" borderId="57" xfId="0" applyFont="1" applyFill="1" applyBorder="1"/>
    <xf numFmtId="0" fontId="45" fillId="13" borderId="56" xfId="0" applyFont="1" applyFill="1" applyBorder="1"/>
    <xf numFmtId="0" fontId="43" fillId="13" borderId="57" xfId="0" applyFont="1" applyFill="1" applyBorder="1"/>
    <xf numFmtId="0" fontId="42" fillId="13" borderId="56" xfId="0" applyFont="1" applyFill="1" applyBorder="1"/>
    <xf numFmtId="0" fontId="41" fillId="13" borderId="57" xfId="0" applyFont="1" applyFill="1" applyBorder="1"/>
    <xf numFmtId="0" fontId="45" fillId="13" borderId="84" xfId="0" applyFont="1" applyFill="1" applyBorder="1" applyAlignment="1">
      <alignment horizontal="center" vertical="center"/>
    </xf>
    <xf numFmtId="0" fontId="43" fillId="13" borderId="78" xfId="0" applyFont="1" applyFill="1" applyBorder="1" applyAlignment="1">
      <alignment horizontal="center" vertical="center"/>
    </xf>
    <xf numFmtId="0" fontId="0" fillId="0" borderId="86" xfId="0" applyBorder="1"/>
    <xf numFmtId="0" fontId="0" fillId="24" borderId="86" xfId="0" applyFill="1" applyBorder="1"/>
    <xf numFmtId="0" fontId="36" fillId="13" borderId="8" xfId="0" applyFont="1" applyFill="1" applyBorder="1" applyAlignment="1">
      <alignment horizontal="left" vertical="center" wrapText="1" indent="1"/>
    </xf>
    <xf numFmtId="0" fontId="0" fillId="13" borderId="23" xfId="0" applyFill="1" applyBorder="1"/>
    <xf numFmtId="0" fontId="0" fillId="13" borderId="49" xfId="0" applyFill="1" applyBorder="1"/>
    <xf numFmtId="0" fontId="0" fillId="13" borderId="26" xfId="0" applyFill="1" applyBorder="1"/>
    <xf numFmtId="0" fontId="0" fillId="0" borderId="9" xfId="0" applyBorder="1"/>
    <xf numFmtId="0" fontId="11" fillId="12" borderId="22" xfId="1" applyFont="1" applyFill="1" applyBorder="1" applyAlignment="1">
      <alignment horizontal="center" vertical="center"/>
    </xf>
    <xf numFmtId="0" fontId="11" fillId="12" borderId="8" xfId="1" applyFont="1" applyFill="1" applyBorder="1" applyAlignment="1">
      <alignment horizontal="center" vertical="center"/>
    </xf>
    <xf numFmtId="0" fontId="11" fillId="12" borderId="8" xfId="0" applyFont="1" applyFill="1" applyBorder="1" applyAlignment="1">
      <alignment horizontal="center" vertical="center"/>
    </xf>
    <xf numFmtId="0" fontId="11" fillId="12" borderId="25" xfId="0" applyFont="1" applyFill="1" applyBorder="1" applyAlignment="1">
      <alignment horizontal="center" vertical="center"/>
    </xf>
    <xf numFmtId="0" fontId="11" fillId="12" borderId="28" xfId="0" applyFont="1" applyFill="1" applyBorder="1" applyAlignment="1">
      <alignment horizontal="center" vertical="center"/>
    </xf>
    <xf numFmtId="0" fontId="11" fillId="13" borderId="8" xfId="1" applyFont="1" applyFill="1" applyBorder="1" applyAlignment="1">
      <alignment horizontal="center" vertical="center"/>
    </xf>
    <xf numFmtId="0" fontId="11" fillId="13" borderId="25" xfId="0" applyFont="1" applyFill="1" applyBorder="1" applyAlignment="1">
      <alignment horizontal="center" vertical="center"/>
    </xf>
    <xf numFmtId="0" fontId="11" fillId="13" borderId="22" xfId="1" applyFont="1" applyFill="1" applyBorder="1" applyAlignment="1">
      <alignment horizontal="center" vertical="center"/>
    </xf>
    <xf numFmtId="0" fontId="11" fillId="13" borderId="8" xfId="0" applyFont="1" applyFill="1" applyBorder="1" applyAlignment="1">
      <alignment horizontal="center" vertical="center"/>
    </xf>
    <xf numFmtId="0" fontId="11" fillId="13" borderId="25" xfId="1" applyFont="1" applyFill="1" applyBorder="1" applyAlignment="1">
      <alignment horizontal="center" vertical="center"/>
    </xf>
    <xf numFmtId="0" fontId="11" fillId="12" borderId="28" xfId="1" applyFont="1" applyFill="1" applyBorder="1" applyAlignment="1">
      <alignment horizontal="center" vertical="center"/>
    </xf>
    <xf numFmtId="0" fontId="11" fillId="12" borderId="25" xfId="1" applyFont="1" applyFill="1" applyBorder="1" applyAlignment="1">
      <alignment horizontal="center" vertical="center"/>
    </xf>
    <xf numFmtId="0" fontId="8" fillId="4" borderId="36" xfId="0" applyFont="1" applyFill="1" applyBorder="1" applyAlignment="1">
      <alignment horizontal="center" vertical="center"/>
    </xf>
    <xf numFmtId="0" fontId="23" fillId="12" borderId="28" xfId="0" applyFont="1" applyFill="1" applyBorder="1" applyAlignment="1">
      <alignment horizontal="center" vertical="center"/>
    </xf>
    <xf numFmtId="0" fontId="11" fillId="12" borderId="37" xfId="0" applyFont="1" applyFill="1" applyBorder="1" applyAlignment="1">
      <alignment horizontal="center" vertical="center"/>
    </xf>
    <xf numFmtId="0" fontId="5" fillId="11" borderId="76" xfId="0" applyFont="1" applyFill="1" applyBorder="1" applyAlignment="1">
      <alignment horizontal="center" vertical="center"/>
    </xf>
    <xf numFmtId="0" fontId="5" fillId="11" borderId="77" xfId="0" applyFont="1" applyFill="1" applyBorder="1" applyAlignment="1">
      <alignment horizontal="center" vertical="center"/>
    </xf>
    <xf numFmtId="0" fontId="9" fillId="11" borderId="77" xfId="0" applyFont="1" applyFill="1" applyBorder="1" applyAlignment="1">
      <alignment horizontal="center" vertical="center"/>
    </xf>
    <xf numFmtId="0" fontId="12" fillId="11" borderId="78" xfId="0" applyFont="1" applyFill="1" applyBorder="1" applyAlignment="1">
      <alignment horizontal="center" vertical="center"/>
    </xf>
    <xf numFmtId="0" fontId="14" fillId="0" borderId="37" xfId="1" applyFont="1" applyBorder="1" applyAlignment="1">
      <alignment horizontal="center" vertical="center" wrapText="1"/>
    </xf>
    <xf numFmtId="0" fontId="26" fillId="13" borderId="25" xfId="0" applyFont="1" applyFill="1" applyBorder="1" applyAlignment="1">
      <alignment horizontal="center" vertical="center"/>
    </xf>
    <xf numFmtId="0" fontId="0" fillId="24" borderId="68" xfId="0" applyFill="1" applyBorder="1"/>
    <xf numFmtId="0" fontId="0" fillId="0" borderId="33" xfId="0" applyBorder="1"/>
    <xf numFmtId="0" fontId="34" fillId="0" borderId="9" xfId="0" applyFont="1" applyBorder="1" applyAlignment="1">
      <alignment vertical="center"/>
    </xf>
    <xf numFmtId="0" fontId="36" fillId="0" borderId="0" xfId="0" applyFont="1" applyBorder="1" applyAlignment="1">
      <alignment horizontal="left" vertical="center" wrapText="1" indent="1"/>
    </xf>
    <xf numFmtId="0" fontId="36" fillId="28" borderId="0" xfId="0" applyFont="1" applyFill="1" applyBorder="1" applyAlignment="1">
      <alignment horizontal="left" vertical="center" wrapText="1" indent="1"/>
    </xf>
    <xf numFmtId="0" fontId="33" fillId="0" borderId="43" xfId="0" applyFont="1" applyBorder="1"/>
    <xf numFmtId="0" fontId="0" fillId="0" borderId="53" xfId="0" applyBorder="1"/>
    <xf numFmtId="0" fontId="45" fillId="0" borderId="0" xfId="0" applyFont="1" applyBorder="1"/>
    <xf numFmtId="0" fontId="43" fillId="0" borderId="0" xfId="0" applyFont="1" applyBorder="1"/>
    <xf numFmtId="0" fontId="0" fillId="24" borderId="58" xfId="0" applyFill="1" applyBorder="1"/>
    <xf numFmtId="0" fontId="0" fillId="0" borderId="0" xfId="0"/>
    <xf numFmtId="0" fontId="0" fillId="13" borderId="0" xfId="0" applyFill="1"/>
    <xf numFmtId="0" fontId="0" fillId="0" borderId="6" xfId="0" applyBorder="1" applyAlignment="1">
      <alignment horizontal="center" vertical="center" wrapText="1"/>
    </xf>
    <xf numFmtId="0" fontId="0" fillId="0" borderId="0" xfId="0"/>
    <xf numFmtId="0" fontId="0" fillId="0" borderId="6" xfId="0" applyBorder="1"/>
    <xf numFmtId="0" fontId="6" fillId="10" borderId="56" xfId="0" applyFont="1" applyFill="1" applyBorder="1" applyAlignment="1">
      <alignment horizontal="center" vertical="center"/>
    </xf>
    <xf numFmtId="0" fontId="6" fillId="10" borderId="60" xfId="0" applyFont="1" applyFill="1" applyBorder="1" applyAlignment="1">
      <alignment horizontal="center" vertical="center"/>
    </xf>
    <xf numFmtId="0" fontId="6" fillId="10" borderId="57" xfId="0" applyFont="1" applyFill="1" applyBorder="1" applyAlignment="1">
      <alignment horizontal="center" vertical="center"/>
    </xf>
    <xf numFmtId="0" fontId="15" fillId="13" borderId="35" xfId="0" applyFont="1" applyFill="1" applyBorder="1" applyAlignment="1">
      <alignment horizontal="center" vertical="center" wrapText="1"/>
    </xf>
    <xf numFmtId="0" fontId="15" fillId="13" borderId="38" xfId="0" applyFont="1" applyFill="1" applyBorder="1" applyAlignment="1">
      <alignment horizontal="center" vertical="center" wrapText="1"/>
    </xf>
    <xf numFmtId="0" fontId="15" fillId="13" borderId="39" xfId="0" applyFont="1" applyFill="1" applyBorder="1" applyAlignment="1">
      <alignment horizontal="center" vertical="center" wrapText="1"/>
    </xf>
    <xf numFmtId="0" fontId="6" fillId="10" borderId="15" xfId="0" applyFont="1" applyFill="1" applyBorder="1" applyAlignment="1">
      <alignment horizontal="center" vertical="center"/>
    </xf>
    <xf numFmtId="0" fontId="0" fillId="0" borderId="9" xfId="0" applyBorder="1"/>
    <xf numFmtId="0" fontId="0" fillId="0" borderId="13" xfId="0" applyBorder="1"/>
    <xf numFmtId="0" fontId="6" fillId="10" borderId="43" xfId="0" applyFont="1" applyFill="1" applyBorder="1" applyAlignment="1">
      <alignment horizontal="center" vertical="center"/>
    </xf>
    <xf numFmtId="0" fontId="6" fillId="10" borderId="0" xfId="0" applyFont="1" applyFill="1" applyBorder="1" applyAlignment="1">
      <alignment horizontal="center" vertical="center"/>
    </xf>
    <xf numFmtId="0" fontId="47" fillId="0" borderId="33" xfId="0" applyFont="1" applyBorder="1" applyAlignment="1">
      <alignment horizontal="center" vertical="center"/>
    </xf>
    <xf numFmtId="0" fontId="47" fillId="0" borderId="9" xfId="0" applyFont="1" applyBorder="1" applyAlignment="1">
      <alignment horizontal="center" vertical="center"/>
    </xf>
    <xf numFmtId="0" fontId="47" fillId="0" borderId="10" xfId="0" applyFont="1" applyBorder="1" applyAlignment="1">
      <alignment horizontal="center" vertical="center"/>
    </xf>
    <xf numFmtId="0" fontId="47" fillId="0" borderId="43" xfId="0" applyFont="1" applyBorder="1" applyAlignment="1">
      <alignment horizontal="center" vertical="center"/>
    </xf>
    <xf numFmtId="0" fontId="47" fillId="0" borderId="0" xfId="0" applyFont="1" applyBorder="1" applyAlignment="1">
      <alignment horizontal="center" vertical="center"/>
    </xf>
    <xf numFmtId="0" fontId="47" fillId="0" borderId="12" xfId="0" applyFont="1" applyBorder="1" applyAlignment="1">
      <alignment horizontal="center" vertical="center"/>
    </xf>
    <xf numFmtId="0" fontId="47" fillId="0" borderId="53" xfId="0" applyFont="1" applyBorder="1" applyAlignment="1">
      <alignment horizontal="center" vertical="center"/>
    </xf>
    <xf numFmtId="0" fontId="47" fillId="0" borderId="55" xfId="0" applyFont="1" applyBorder="1" applyAlignment="1">
      <alignment horizontal="center" vertical="center"/>
    </xf>
    <xf numFmtId="0" fontId="47" fillId="0" borderId="14" xfId="0" applyFont="1" applyBorder="1" applyAlignment="1">
      <alignment horizontal="center" vertical="center"/>
    </xf>
    <xf numFmtId="0" fontId="0" fillId="24" borderId="56" xfId="0" applyFill="1" applyBorder="1" applyAlignment="1">
      <alignment horizontal="center" vertical="center"/>
    </xf>
    <xf numFmtId="0" fontId="0" fillId="24" borderId="60" xfId="0" applyFill="1" applyBorder="1" applyAlignment="1">
      <alignment horizontal="center" vertical="center"/>
    </xf>
    <xf numFmtId="0" fontId="0" fillId="24" borderId="57" xfId="0" applyFill="1" applyBorder="1" applyAlignment="1">
      <alignment horizontal="center" vertical="center"/>
    </xf>
    <xf numFmtId="0" fontId="0" fillId="24" borderId="56" xfId="0" applyFill="1" applyBorder="1" applyAlignment="1">
      <alignment horizontal="center"/>
    </xf>
    <xf numFmtId="0" fontId="0" fillId="24" borderId="60" xfId="0" applyFill="1" applyBorder="1" applyAlignment="1">
      <alignment horizontal="center"/>
    </xf>
    <xf numFmtId="0" fontId="0" fillId="24" borderId="57" xfId="0" applyFill="1" applyBorder="1" applyAlignment="1">
      <alignment horizontal="center"/>
    </xf>
    <xf numFmtId="0" fontId="0" fillId="13" borderId="56" xfId="0" applyFill="1" applyBorder="1" applyAlignment="1">
      <alignment horizontal="center"/>
    </xf>
    <xf numFmtId="0" fontId="0" fillId="13" borderId="55" xfId="0" applyFill="1" applyBorder="1" applyAlignment="1">
      <alignment horizontal="center"/>
    </xf>
    <xf numFmtId="0" fontId="0" fillId="13" borderId="76" xfId="0" applyFill="1" applyBorder="1" applyAlignment="1">
      <alignment horizontal="center"/>
    </xf>
    <xf numFmtId="0" fontId="0" fillId="13" borderId="60" xfId="0" applyFill="1" applyBorder="1" applyAlignment="1">
      <alignment horizontal="center"/>
    </xf>
    <xf numFmtId="0" fontId="26" fillId="13" borderId="82" xfId="0" applyFont="1" applyFill="1" applyBorder="1" applyAlignment="1">
      <alignment horizontal="center"/>
    </xf>
    <xf numFmtId="0" fontId="26" fillId="13" borderId="85" xfId="0" applyFont="1" applyFill="1" applyBorder="1" applyAlignment="1">
      <alignment horizontal="center"/>
    </xf>
    <xf numFmtId="0" fontId="26" fillId="13" borderId="72" xfId="0" applyFont="1" applyFill="1" applyBorder="1" applyAlignment="1">
      <alignment horizontal="center"/>
    </xf>
    <xf numFmtId="0" fontId="26" fillId="13" borderId="27" xfId="0" applyFont="1" applyFill="1" applyBorder="1" applyAlignment="1">
      <alignment horizontal="center"/>
    </xf>
    <xf numFmtId="0" fontId="26" fillId="13" borderId="68" xfId="0" applyFont="1" applyFill="1" applyBorder="1" applyAlignment="1">
      <alignment horizontal="center"/>
    </xf>
    <xf numFmtId="0" fontId="26" fillId="24" borderId="56" xfId="0" applyFont="1" applyFill="1" applyBorder="1" applyAlignment="1">
      <alignment horizontal="center"/>
    </xf>
    <xf numFmtId="0" fontId="26" fillId="24" borderId="60" xfId="0" applyFont="1" applyFill="1" applyBorder="1" applyAlignment="1">
      <alignment horizontal="center"/>
    </xf>
    <xf numFmtId="0" fontId="26" fillId="24" borderId="57" xfId="0" applyFont="1" applyFill="1" applyBorder="1" applyAlignment="1">
      <alignment horizontal="center"/>
    </xf>
    <xf numFmtId="0" fontId="22" fillId="10" borderId="33" xfId="0" applyFont="1" applyFill="1" applyBorder="1" applyAlignment="1">
      <alignment horizontal="center" vertical="center" wrapText="1"/>
    </xf>
    <xf numFmtId="0" fontId="22" fillId="10" borderId="10" xfId="0" applyFont="1" applyFill="1" applyBorder="1" applyAlignment="1">
      <alignment horizontal="center" vertical="center" wrapText="1"/>
    </xf>
    <xf numFmtId="0" fontId="22" fillId="10" borderId="43" xfId="0" applyFont="1" applyFill="1" applyBorder="1" applyAlignment="1">
      <alignment horizontal="center" vertical="center" wrapText="1"/>
    </xf>
    <xf numFmtId="0" fontId="22" fillId="10" borderId="12" xfId="0" applyFont="1" applyFill="1" applyBorder="1" applyAlignment="1">
      <alignment horizontal="center" vertical="center" wrapText="1"/>
    </xf>
    <xf numFmtId="0" fontId="27" fillId="10" borderId="53" xfId="0" applyFont="1" applyFill="1" applyBorder="1" applyAlignment="1">
      <alignment horizontal="center" vertical="center"/>
    </xf>
    <xf numFmtId="0" fontId="27" fillId="10" borderId="14" xfId="0" applyFont="1" applyFill="1" applyBorder="1" applyAlignment="1">
      <alignment horizontal="center" vertical="center"/>
    </xf>
    <xf numFmtId="0" fontId="6" fillId="10" borderId="0" xfId="0" applyFont="1" applyFill="1"/>
    <xf numFmtId="0" fontId="23" fillId="20" borderId="51" xfId="0" applyFont="1" applyFill="1" applyBorder="1" applyAlignment="1">
      <alignment horizontal="center" vertical="center"/>
    </xf>
    <xf numFmtId="0" fontId="0" fillId="0" borderId="52" xfId="0" applyBorder="1"/>
    <xf numFmtId="0" fontId="42" fillId="0" borderId="34" xfId="0" applyFont="1" applyBorder="1" applyAlignment="1">
      <alignment horizontal="center"/>
    </xf>
    <xf numFmtId="0" fontId="42" fillId="0" borderId="54" xfId="0" applyFont="1" applyBorder="1" applyAlignment="1">
      <alignment horizontal="center"/>
    </xf>
    <xf numFmtId="0" fontId="26" fillId="24" borderId="71" xfId="0" applyFont="1" applyFill="1" applyBorder="1" applyAlignment="1">
      <alignment horizontal="center"/>
    </xf>
    <xf numFmtId="0" fontId="26" fillId="24" borderId="72" xfId="0" applyFont="1" applyFill="1" applyBorder="1" applyAlignment="1">
      <alignment horizontal="center"/>
    </xf>
    <xf numFmtId="0" fontId="26" fillId="24" borderId="13" xfId="0" applyFont="1" applyFill="1" applyBorder="1" applyAlignment="1">
      <alignment horizontal="center"/>
    </xf>
    <xf numFmtId="0" fontId="0" fillId="0" borderId="8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24" borderId="33" xfId="0" applyFont="1" applyFill="1" applyBorder="1" applyAlignment="1">
      <alignment horizontal="center" vertical="center"/>
    </xf>
    <xf numFmtId="0" fontId="0" fillId="24" borderId="10" xfId="0" applyFont="1" applyFill="1" applyBorder="1" applyAlignment="1">
      <alignment horizontal="center" vertical="center"/>
    </xf>
    <xf numFmtId="0" fontId="0" fillId="24" borderId="43" xfId="0" applyFont="1" applyFill="1" applyBorder="1" applyAlignment="1">
      <alignment horizontal="center" vertical="center"/>
    </xf>
    <xf numFmtId="0" fontId="0" fillId="24" borderId="12" xfId="0" applyFont="1" applyFill="1" applyBorder="1" applyAlignment="1">
      <alignment horizontal="center" vertical="center"/>
    </xf>
    <xf numFmtId="0" fontId="0" fillId="24" borderId="53" xfId="0" applyFont="1" applyFill="1" applyBorder="1" applyAlignment="1">
      <alignment horizontal="center" vertical="center"/>
    </xf>
    <xf numFmtId="0" fontId="0" fillId="24" borderId="14" xfId="0" applyFont="1" applyFill="1" applyBorder="1" applyAlignment="1">
      <alignment horizontal="center" vertical="center"/>
    </xf>
    <xf numFmtId="0" fontId="42" fillId="24" borderId="56" xfId="0" applyFont="1" applyFill="1" applyBorder="1" applyAlignment="1">
      <alignment horizontal="center"/>
    </xf>
    <xf numFmtId="0" fontId="42" fillId="24" borderId="60" xfId="0" applyFont="1" applyFill="1" applyBorder="1" applyAlignment="1">
      <alignment horizontal="center"/>
    </xf>
    <xf numFmtId="0" fontId="42" fillId="24" borderId="57" xfId="0" applyFont="1" applyFill="1" applyBorder="1" applyAlignment="1">
      <alignment horizontal="center"/>
    </xf>
    <xf numFmtId="0" fontId="0" fillId="13" borderId="68" xfId="0" applyFill="1" applyBorder="1" applyAlignment="1">
      <alignment horizontal="center"/>
    </xf>
    <xf numFmtId="0" fontId="0" fillId="13" borderId="72" xfId="0" applyFill="1" applyBorder="1" applyAlignment="1">
      <alignment horizontal="center"/>
    </xf>
    <xf numFmtId="0" fontId="0" fillId="13" borderId="27" xfId="0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68" xfId="0" applyBorder="1" applyAlignment="1">
      <alignment horizontal="center"/>
    </xf>
    <xf numFmtId="0" fontId="46" fillId="24" borderId="9" xfId="0" applyFont="1" applyFill="1" applyBorder="1" applyAlignment="1">
      <alignment horizontal="center" vertical="center"/>
    </xf>
    <xf numFmtId="0" fontId="46" fillId="24" borderId="10" xfId="0" applyFont="1" applyFill="1" applyBorder="1" applyAlignment="1">
      <alignment horizontal="center" vertical="center"/>
    </xf>
    <xf numFmtId="0" fontId="46" fillId="24" borderId="0" xfId="0" applyFont="1" applyFill="1" applyBorder="1" applyAlignment="1">
      <alignment horizontal="center" vertical="center"/>
    </xf>
    <xf numFmtId="0" fontId="46" fillId="24" borderId="12" xfId="0" applyFont="1" applyFill="1" applyBorder="1" applyAlignment="1">
      <alignment horizontal="center" vertical="center"/>
    </xf>
    <xf numFmtId="0" fontId="46" fillId="24" borderId="55" xfId="0" applyFont="1" applyFill="1" applyBorder="1" applyAlignment="1">
      <alignment horizontal="center" vertical="center"/>
    </xf>
    <xf numFmtId="0" fontId="46" fillId="24" borderId="14" xfId="0" applyFont="1" applyFill="1" applyBorder="1" applyAlignment="1">
      <alignment horizontal="center" vertical="center"/>
    </xf>
    <xf numFmtId="0" fontId="26" fillId="24" borderId="56" xfId="0" applyFont="1" applyFill="1" applyBorder="1" applyAlignment="1">
      <alignment horizontal="center" vertical="center"/>
    </xf>
    <xf numFmtId="0" fontId="26" fillId="24" borderId="60" xfId="0" applyFont="1" applyFill="1" applyBorder="1" applyAlignment="1">
      <alignment horizontal="center" vertical="center"/>
    </xf>
    <xf numFmtId="0" fontId="26" fillId="24" borderId="57" xfId="0" applyFont="1" applyFill="1" applyBorder="1" applyAlignment="1">
      <alignment horizontal="center" vertical="center"/>
    </xf>
    <xf numFmtId="0" fontId="26" fillId="24" borderId="31" xfId="0" applyFont="1" applyFill="1" applyBorder="1" applyAlignment="1">
      <alignment horizontal="center" vertical="center"/>
    </xf>
    <xf numFmtId="0" fontId="26" fillId="24" borderId="32" xfId="0" applyFont="1" applyFill="1" applyBorder="1" applyAlignment="1">
      <alignment horizontal="center" vertical="center"/>
    </xf>
    <xf numFmtId="0" fontId="26" fillId="24" borderId="4" xfId="0" applyFont="1" applyFill="1" applyBorder="1" applyAlignment="1">
      <alignment horizontal="center" vertical="center"/>
    </xf>
    <xf numFmtId="0" fontId="15" fillId="24" borderId="33" xfId="0" applyFont="1" applyFill="1" applyBorder="1" applyAlignment="1">
      <alignment horizontal="center"/>
    </xf>
    <xf numFmtId="0" fontId="15" fillId="24" borderId="10" xfId="0" applyFont="1" applyFill="1" applyBorder="1" applyAlignment="1">
      <alignment horizontal="center"/>
    </xf>
    <xf numFmtId="0" fontId="15" fillId="24" borderId="43" xfId="0" applyFont="1" applyFill="1" applyBorder="1" applyAlignment="1">
      <alignment horizontal="center"/>
    </xf>
    <xf numFmtId="0" fontId="15" fillId="24" borderId="12" xfId="0" applyFont="1" applyFill="1" applyBorder="1" applyAlignment="1">
      <alignment horizontal="center"/>
    </xf>
    <xf numFmtId="0" fontId="15" fillId="24" borderId="53" xfId="0" applyFont="1" applyFill="1" applyBorder="1" applyAlignment="1">
      <alignment horizontal="center"/>
    </xf>
    <xf numFmtId="0" fontId="15" fillId="24" borderId="14" xfId="0" applyFont="1" applyFill="1" applyBorder="1" applyAlignment="1">
      <alignment horizontal="center"/>
    </xf>
    <xf numFmtId="0" fontId="28" fillId="0" borderId="47" xfId="0" applyFont="1" applyBorder="1"/>
  </cellXfs>
  <cellStyles count="2">
    <cellStyle name="Hipervínculo" xfId="1"/>
    <cellStyle name="Normal" xfId="0" builtinId="0"/>
  </cellStyles>
  <dxfs count="3"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aCalendario" displayName="TablaCalendario" ref="O4:T34">
  <autoFilter ref="O4:T34"/>
  <tableColumns count="6">
    <tableColumn id="1" name="Clase"/>
    <tableColumn id="2" name="Fecha"/>
    <tableColumn id="3" name="Día"/>
    <tableColumn id="4" name="Horario"/>
    <tableColumn id="5" name="Horas del día"/>
    <tableColumn id="6" name="Horas acumuladas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ablaAlumnos" displayName="TablaAlumnos" ref="B9:D32">
  <autoFilter ref="B9:D32"/>
  <tableColumns count="3">
    <tableColumn id="1" name="Curso"/>
    <tableColumn id="2" name="Alumno"/>
    <tableColumn id="3" name="Observacion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8"/>
  <sheetViews>
    <sheetView topLeftCell="A2" zoomScale="66" zoomScaleNormal="66" workbookViewId="0">
      <selection activeCell="N41" sqref="B2:N41"/>
    </sheetView>
  </sheetViews>
  <sheetFormatPr baseColWidth="10" defaultRowHeight="14.4"/>
  <cols>
    <col min="1" max="1" width="7.88671875" style="6" customWidth="1"/>
    <col min="2" max="2" width="5.44140625" style="6" bestFit="1" customWidth="1"/>
    <col min="3" max="3" width="37.6640625" style="6" bestFit="1" customWidth="1"/>
    <col min="4" max="4" width="6.77734375" style="6" bestFit="1" customWidth="1"/>
    <col min="5" max="5" width="5.109375" style="6" customWidth="1"/>
    <col min="6" max="6" width="10" style="6" customWidth="1"/>
    <col min="7" max="7" width="14" style="6" customWidth="1"/>
    <col min="8" max="8" width="7.109375" style="6" bestFit="1" customWidth="1"/>
    <col min="9" max="9" width="12.33203125" style="3" bestFit="1" customWidth="1"/>
    <col min="10" max="10" width="15" style="6" bestFit="1" customWidth="1"/>
    <col min="11" max="11" width="24.109375" style="6" customWidth="1"/>
    <col min="12" max="12" width="25.77734375" style="6" bestFit="1" customWidth="1"/>
    <col min="13" max="13" width="11.44140625" style="6" bestFit="1" customWidth="1"/>
    <col min="14" max="14" width="16.5546875" style="6" bestFit="1" customWidth="1"/>
    <col min="16" max="16" width="17.88671875" style="6" customWidth="1"/>
    <col min="17" max="17" width="52.21875" style="6" customWidth="1"/>
    <col min="18" max="18" width="6.109375" style="6" customWidth="1"/>
  </cols>
  <sheetData>
    <row r="1" spans="2:18" s="6" customFormat="1" ht="31.2" customHeight="1" thickBot="1"/>
    <row r="2" spans="2:18" s="6" customFormat="1" ht="19.2" customHeight="1" thickBot="1">
      <c r="B2" s="484" t="s">
        <v>0</v>
      </c>
      <c r="C2" s="485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6"/>
    </row>
    <row r="3" spans="2:18" s="6" customFormat="1" ht="17.55" customHeight="1" thickBot="1">
      <c r="B3" s="102" t="s">
        <v>1</v>
      </c>
      <c r="C3" s="14" t="s">
        <v>2</v>
      </c>
      <c r="D3" s="102" t="s">
        <v>3</v>
      </c>
      <c r="E3" s="102" t="s">
        <v>4</v>
      </c>
      <c r="F3" s="14" t="s">
        <v>5</v>
      </c>
      <c r="G3" s="14" t="s">
        <v>6</v>
      </c>
      <c r="H3" s="463" t="s">
        <v>7</v>
      </c>
      <c r="I3" s="464" t="s">
        <v>8</v>
      </c>
      <c r="J3" s="465" t="s">
        <v>9</v>
      </c>
      <c r="K3" s="464" t="s">
        <v>10</v>
      </c>
      <c r="L3" s="464" t="s">
        <v>370</v>
      </c>
      <c r="M3" s="465" t="s">
        <v>371</v>
      </c>
      <c r="N3" s="466" t="s">
        <v>120</v>
      </c>
      <c r="O3" s="2" t="s">
        <v>11</v>
      </c>
      <c r="P3" s="1">
        <v>33</v>
      </c>
    </row>
    <row r="4" spans="2:18" s="6" customFormat="1" ht="16.05" customHeight="1" thickBot="1">
      <c r="B4" s="460">
        <v>1</v>
      </c>
      <c r="C4" s="65" t="s">
        <v>12</v>
      </c>
      <c r="D4" s="84">
        <v>8.64</v>
      </c>
      <c r="E4" s="66">
        <v>0</v>
      </c>
      <c r="F4" s="67">
        <v>48115842</v>
      </c>
      <c r="G4" s="68">
        <v>1123690016</v>
      </c>
      <c r="H4" s="69" t="s">
        <v>13</v>
      </c>
      <c r="I4" s="70">
        <v>1128432556</v>
      </c>
      <c r="J4" s="86" t="s">
        <v>14</v>
      </c>
      <c r="K4" s="458" t="s">
        <v>15</v>
      </c>
      <c r="L4" s="461" t="s">
        <v>571</v>
      </c>
      <c r="M4" s="129"/>
      <c r="N4" s="462" t="s">
        <v>124</v>
      </c>
      <c r="O4" s="2" t="s">
        <v>16</v>
      </c>
      <c r="P4" s="1">
        <v>5</v>
      </c>
    </row>
    <row r="5" spans="2:18" s="6" customFormat="1" ht="16.05" customHeight="1" thickBot="1">
      <c r="B5" s="45">
        <v>2</v>
      </c>
      <c r="C5" s="49" t="s">
        <v>17</v>
      </c>
      <c r="D5" s="57">
        <v>8.64</v>
      </c>
      <c r="E5" s="61">
        <v>0</v>
      </c>
      <c r="F5" s="53">
        <v>48378190</v>
      </c>
      <c r="G5" s="54">
        <v>1157537527</v>
      </c>
      <c r="H5" s="51" t="s">
        <v>13</v>
      </c>
      <c r="I5" s="40">
        <v>1158042621</v>
      </c>
      <c r="J5" s="42">
        <v>39405</v>
      </c>
      <c r="K5" s="449" t="s">
        <v>18</v>
      </c>
      <c r="L5" s="291" t="s">
        <v>571</v>
      </c>
      <c r="M5" s="106"/>
      <c r="N5" s="107" t="s">
        <v>218</v>
      </c>
      <c r="O5" s="2" t="s">
        <v>19</v>
      </c>
      <c r="P5" s="1">
        <v>38</v>
      </c>
    </row>
    <row r="6" spans="2:18" s="6" customFormat="1" ht="16.05" customHeight="1" thickBot="1">
      <c r="B6" s="46">
        <v>3</v>
      </c>
      <c r="C6" s="49" t="s">
        <v>20</v>
      </c>
      <c r="D6" s="57">
        <v>8.64</v>
      </c>
      <c r="E6" s="61">
        <v>0</v>
      </c>
      <c r="F6" s="53">
        <v>48570169</v>
      </c>
      <c r="G6" s="54">
        <v>1135781744</v>
      </c>
      <c r="H6" s="51" t="s">
        <v>13</v>
      </c>
      <c r="I6" s="40" t="s">
        <v>21</v>
      </c>
      <c r="J6" s="42">
        <v>39551</v>
      </c>
      <c r="K6" s="450" t="s">
        <v>22</v>
      </c>
      <c r="L6" s="291" t="s">
        <v>607</v>
      </c>
      <c r="M6" s="108"/>
      <c r="N6" s="109"/>
      <c r="Q6" s="481" t="s">
        <v>23</v>
      </c>
    </row>
    <row r="7" spans="2:18" s="6" customFormat="1" ht="16.05" customHeight="1">
      <c r="B7" s="47">
        <v>4</v>
      </c>
      <c r="C7" s="49" t="s">
        <v>24</v>
      </c>
      <c r="D7" s="57">
        <v>8.57</v>
      </c>
      <c r="E7" s="61">
        <v>0</v>
      </c>
      <c r="F7" s="54">
        <v>48218906</v>
      </c>
      <c r="G7" s="54">
        <v>1168626751</v>
      </c>
      <c r="H7" s="51" t="s">
        <v>13</v>
      </c>
      <c r="I7" s="40">
        <v>1126193129</v>
      </c>
      <c r="J7" s="41" t="s">
        <v>25</v>
      </c>
      <c r="K7" s="449" t="s">
        <v>26</v>
      </c>
      <c r="L7" s="291" t="s">
        <v>570</v>
      </c>
      <c r="M7" s="110"/>
      <c r="N7" s="109"/>
      <c r="Q7" s="482"/>
    </row>
    <row r="8" spans="2:18" s="6" customFormat="1" ht="16.05" customHeight="1" thickBot="1">
      <c r="B8" s="48">
        <v>5</v>
      </c>
      <c r="C8" s="50" t="s">
        <v>27</v>
      </c>
      <c r="D8" s="81">
        <v>8.4600000000000009</v>
      </c>
      <c r="E8" s="62">
        <v>0</v>
      </c>
      <c r="F8" s="55">
        <v>48647749</v>
      </c>
      <c r="G8" s="56">
        <v>1134334390</v>
      </c>
      <c r="H8" s="52" t="s">
        <v>13</v>
      </c>
      <c r="I8" s="43" t="s">
        <v>28</v>
      </c>
      <c r="J8" s="44">
        <v>39559</v>
      </c>
      <c r="K8" s="451" t="s">
        <v>29</v>
      </c>
      <c r="L8" s="291" t="s">
        <v>571</v>
      </c>
      <c r="M8" s="112"/>
      <c r="N8" s="113"/>
      <c r="Q8" s="482"/>
    </row>
    <row r="9" spans="2:18" s="6" customFormat="1" ht="16.05" customHeight="1" thickBot="1">
      <c r="B9" s="64">
        <v>6</v>
      </c>
      <c r="C9" s="65" t="s">
        <v>30</v>
      </c>
      <c r="D9" s="84">
        <v>7.68</v>
      </c>
      <c r="E9" s="66">
        <v>0</v>
      </c>
      <c r="F9" s="67">
        <v>48291340</v>
      </c>
      <c r="G9" s="68" t="s">
        <v>31</v>
      </c>
      <c r="H9" s="69" t="s">
        <v>13</v>
      </c>
      <c r="I9" s="70">
        <v>1138585760</v>
      </c>
      <c r="J9" s="71">
        <v>39378</v>
      </c>
      <c r="K9" s="452" t="s">
        <v>32</v>
      </c>
      <c r="L9" s="334" t="s">
        <v>45</v>
      </c>
      <c r="M9" s="333" t="s">
        <v>49</v>
      </c>
      <c r="N9" s="114"/>
      <c r="Q9" s="483"/>
    </row>
    <row r="10" spans="2:18" s="6" customFormat="1" ht="16.05" customHeight="1" thickBot="1">
      <c r="B10" s="47">
        <v>7</v>
      </c>
      <c r="C10" s="49" t="s">
        <v>33</v>
      </c>
      <c r="D10" s="57">
        <v>7.64</v>
      </c>
      <c r="E10" s="61">
        <v>0</v>
      </c>
      <c r="F10" s="53">
        <v>94875027</v>
      </c>
      <c r="G10" s="54" t="s">
        <v>34</v>
      </c>
      <c r="H10" s="51" t="s">
        <v>13</v>
      </c>
      <c r="I10" s="40">
        <v>1134956488</v>
      </c>
      <c r="J10" s="42">
        <v>39522</v>
      </c>
      <c r="K10" s="450" t="s">
        <v>35</v>
      </c>
      <c r="L10" s="115"/>
      <c r="M10" s="115"/>
      <c r="N10" s="109"/>
      <c r="Q10" s="7" t="s">
        <v>36</v>
      </c>
      <c r="R10" s="9"/>
    </row>
    <row r="11" spans="2:18" s="6" customFormat="1" ht="16.05" customHeight="1" thickBot="1">
      <c r="B11" s="47">
        <v>8</v>
      </c>
      <c r="C11" s="130" t="s">
        <v>37</v>
      </c>
      <c r="D11" s="131">
        <v>6.04</v>
      </c>
      <c r="E11" s="132"/>
      <c r="F11" s="133">
        <v>49425810</v>
      </c>
      <c r="G11" s="134">
        <v>1158692546</v>
      </c>
      <c r="H11" s="135" t="s">
        <v>38</v>
      </c>
      <c r="I11" s="136"/>
      <c r="J11" s="137"/>
      <c r="K11" s="453"/>
      <c r="L11" s="138"/>
      <c r="M11" s="138"/>
      <c r="N11" s="487" t="s">
        <v>372</v>
      </c>
      <c r="Q11" s="7" t="s">
        <v>39</v>
      </c>
      <c r="R11" s="9"/>
    </row>
    <row r="12" spans="2:18" s="6" customFormat="1" ht="16.05" customHeight="1" thickBot="1">
      <c r="B12" s="47">
        <v>9</v>
      </c>
      <c r="C12" s="130" t="s">
        <v>40</v>
      </c>
      <c r="D12" s="131"/>
      <c r="E12" s="132"/>
      <c r="F12" s="133">
        <v>48699057</v>
      </c>
      <c r="G12" s="134">
        <v>1161953240</v>
      </c>
      <c r="H12" s="135" t="s">
        <v>13</v>
      </c>
      <c r="I12" s="136"/>
      <c r="J12" s="136"/>
      <c r="K12" s="453"/>
      <c r="L12" s="138"/>
      <c r="M12" s="138"/>
      <c r="N12" s="488"/>
      <c r="Q12" s="4" t="s">
        <v>41</v>
      </c>
      <c r="R12" s="9"/>
    </row>
    <row r="13" spans="2:18" s="6" customFormat="1" ht="16.05" customHeight="1" thickBot="1">
      <c r="B13" s="48">
        <v>10</v>
      </c>
      <c r="C13" s="139" t="s">
        <v>42</v>
      </c>
      <c r="D13" s="140"/>
      <c r="E13" s="141"/>
      <c r="F13" s="142">
        <v>48032358</v>
      </c>
      <c r="G13" s="143">
        <v>1166220574</v>
      </c>
      <c r="H13" s="144" t="s">
        <v>13</v>
      </c>
      <c r="I13" s="145"/>
      <c r="J13" s="145"/>
      <c r="K13" s="454"/>
      <c r="L13" s="146"/>
      <c r="M13" s="146"/>
      <c r="N13" s="488"/>
      <c r="Q13" s="4" t="s">
        <v>37</v>
      </c>
      <c r="R13" s="9"/>
    </row>
    <row r="14" spans="2:18" s="6" customFormat="1" ht="16.05" customHeight="1" thickBot="1">
      <c r="B14" s="79">
        <v>11</v>
      </c>
      <c r="C14" s="147" t="s">
        <v>43</v>
      </c>
      <c r="D14" s="148"/>
      <c r="E14" s="149"/>
      <c r="F14" s="150">
        <v>48378258</v>
      </c>
      <c r="G14" s="151">
        <v>1125176164</v>
      </c>
      <c r="H14" s="152" t="s">
        <v>13</v>
      </c>
      <c r="I14" s="153">
        <v>1165629220</v>
      </c>
      <c r="J14" s="154">
        <v>39134</v>
      </c>
      <c r="K14" s="455" t="s">
        <v>44</v>
      </c>
      <c r="L14" s="155"/>
      <c r="M14" s="155"/>
      <c r="N14" s="488"/>
      <c r="Q14" s="5" t="s">
        <v>40</v>
      </c>
      <c r="R14" s="9"/>
    </row>
    <row r="15" spans="2:18" s="6" customFormat="1" ht="16.05" customHeight="1" thickBot="1">
      <c r="B15" s="47">
        <v>12</v>
      </c>
      <c r="C15" s="130" t="s">
        <v>39</v>
      </c>
      <c r="D15" s="131"/>
      <c r="E15" s="132"/>
      <c r="F15" s="133">
        <v>95222831</v>
      </c>
      <c r="G15" s="134">
        <v>1130296248</v>
      </c>
      <c r="H15" s="135" t="s">
        <v>38</v>
      </c>
      <c r="I15" s="136"/>
      <c r="J15" s="137"/>
      <c r="K15" s="453"/>
      <c r="L15" s="138"/>
      <c r="M15" s="138"/>
      <c r="N15" s="488"/>
      <c r="Q15" s="4" t="s">
        <v>42</v>
      </c>
      <c r="R15" s="9"/>
    </row>
    <row r="16" spans="2:18" s="6" customFormat="1" ht="16.05" customHeight="1">
      <c r="B16" s="47">
        <v>13</v>
      </c>
      <c r="C16" s="130" t="s">
        <v>36</v>
      </c>
      <c r="D16" s="131"/>
      <c r="E16" s="132"/>
      <c r="F16" s="133">
        <v>48437196</v>
      </c>
      <c r="G16" s="134">
        <v>1136115964</v>
      </c>
      <c r="H16" s="135" t="s">
        <v>13</v>
      </c>
      <c r="I16" s="136"/>
      <c r="J16" s="137"/>
      <c r="K16" s="453"/>
      <c r="L16" s="156"/>
      <c r="M16" s="156"/>
      <c r="N16" s="488"/>
      <c r="R16" s="9"/>
    </row>
    <row r="17" spans="1:18" s="6" customFormat="1" ht="16.05" customHeight="1">
      <c r="B17" s="47">
        <v>14</v>
      </c>
      <c r="C17" s="130" t="s">
        <v>41</v>
      </c>
      <c r="D17" s="131"/>
      <c r="E17" s="132"/>
      <c r="F17" s="133">
        <v>47018056</v>
      </c>
      <c r="G17" s="134" t="s">
        <v>46</v>
      </c>
      <c r="H17" s="135" t="s">
        <v>38</v>
      </c>
      <c r="I17" s="136"/>
      <c r="J17" s="136"/>
      <c r="K17" s="456"/>
      <c r="L17" s="157"/>
      <c r="M17" s="157"/>
      <c r="N17" s="488"/>
      <c r="R17" s="9"/>
    </row>
    <row r="18" spans="1:18" s="6" customFormat="1" ht="16.05" customHeight="1" thickBot="1">
      <c r="B18" s="48">
        <v>15</v>
      </c>
      <c r="C18" s="139" t="s">
        <v>47</v>
      </c>
      <c r="D18" s="140"/>
      <c r="E18" s="141"/>
      <c r="F18" s="142">
        <v>48439693</v>
      </c>
      <c r="G18" s="143">
        <v>1138144699</v>
      </c>
      <c r="H18" s="144" t="s">
        <v>13</v>
      </c>
      <c r="I18" s="145">
        <v>1158991692</v>
      </c>
      <c r="J18" s="158">
        <v>39563</v>
      </c>
      <c r="K18" s="457" t="s">
        <v>48</v>
      </c>
      <c r="L18" s="159"/>
      <c r="M18" s="159"/>
      <c r="N18" s="489"/>
      <c r="R18" s="9"/>
    </row>
    <row r="19" spans="1:18" s="6" customFormat="1" ht="16.05" customHeight="1">
      <c r="B19" s="64">
        <v>16</v>
      </c>
      <c r="C19" s="65" t="s">
        <v>50</v>
      </c>
      <c r="D19" s="84">
        <v>8.0399999999999991</v>
      </c>
      <c r="E19" s="66">
        <v>1</v>
      </c>
      <c r="F19" s="67">
        <v>48378213</v>
      </c>
      <c r="G19" s="68" t="s">
        <v>51</v>
      </c>
      <c r="H19" s="69" t="s">
        <v>13</v>
      </c>
      <c r="I19" s="70">
        <v>1123539842</v>
      </c>
      <c r="J19" s="71">
        <v>39403</v>
      </c>
      <c r="K19" s="458" t="s">
        <v>52</v>
      </c>
      <c r="L19" s="291" t="s">
        <v>607</v>
      </c>
      <c r="M19" s="120"/>
      <c r="N19" s="121"/>
      <c r="R19" s="9"/>
    </row>
    <row r="20" spans="1:18" s="6" customFormat="1" ht="16.05" customHeight="1">
      <c r="A20" s="9"/>
      <c r="B20" s="47">
        <v>17</v>
      </c>
      <c r="C20" s="49" t="s">
        <v>53</v>
      </c>
      <c r="D20" s="57">
        <v>8.0399999999999991</v>
      </c>
      <c r="E20" s="61">
        <v>1</v>
      </c>
      <c r="F20" s="53">
        <v>48232596</v>
      </c>
      <c r="G20" s="54">
        <v>1127964148</v>
      </c>
      <c r="H20" s="51" t="s">
        <v>13</v>
      </c>
      <c r="I20" s="40">
        <v>1127804691</v>
      </c>
      <c r="J20" s="42">
        <v>39297</v>
      </c>
      <c r="K20" s="449" t="s">
        <v>54</v>
      </c>
      <c r="L20" s="291" t="s">
        <v>606</v>
      </c>
      <c r="M20" s="122"/>
      <c r="N20" s="123"/>
    </row>
    <row r="21" spans="1:18" s="6" customFormat="1" ht="16.05" customHeight="1">
      <c r="B21" s="47">
        <v>18</v>
      </c>
      <c r="C21" s="49" t="s">
        <v>55</v>
      </c>
      <c r="D21" s="57">
        <v>7.68</v>
      </c>
      <c r="E21" s="61">
        <v>1</v>
      </c>
      <c r="F21" s="53">
        <v>47384119</v>
      </c>
      <c r="G21" s="54" t="s">
        <v>56</v>
      </c>
      <c r="H21" s="51" t="s">
        <v>13</v>
      </c>
      <c r="I21" s="40" t="s">
        <v>57</v>
      </c>
      <c r="J21" s="41" t="s">
        <v>58</v>
      </c>
      <c r="K21" s="450" t="s">
        <v>59</v>
      </c>
      <c r="L21" s="291" t="s">
        <v>606</v>
      </c>
      <c r="M21" s="124"/>
      <c r="N21" s="123"/>
    </row>
    <row r="22" spans="1:18" s="6" customFormat="1" ht="16.05" customHeight="1">
      <c r="B22" s="47">
        <v>19</v>
      </c>
      <c r="C22" s="49" t="s">
        <v>60</v>
      </c>
      <c r="D22" s="57">
        <v>7.5</v>
      </c>
      <c r="E22" s="61">
        <v>1</v>
      </c>
      <c r="F22" s="53">
        <v>48570118</v>
      </c>
      <c r="G22" s="54">
        <v>1133928610</v>
      </c>
      <c r="H22" s="51" t="s">
        <v>13</v>
      </c>
      <c r="I22" s="40">
        <v>1158745992</v>
      </c>
      <c r="J22" s="42">
        <v>39526</v>
      </c>
      <c r="K22" s="449" t="s">
        <v>61</v>
      </c>
      <c r="L22" s="291" t="s">
        <v>607</v>
      </c>
      <c r="M22" s="122"/>
      <c r="N22" s="123"/>
    </row>
    <row r="23" spans="1:18" s="6" customFormat="1" ht="16.05" customHeight="1" thickBot="1">
      <c r="B23" s="48">
        <v>20</v>
      </c>
      <c r="C23" s="50" t="s">
        <v>62</v>
      </c>
      <c r="D23" s="81">
        <v>7.29</v>
      </c>
      <c r="E23" s="62">
        <v>1</v>
      </c>
      <c r="F23" s="55">
        <v>48495550</v>
      </c>
      <c r="G23" s="56" t="s">
        <v>63</v>
      </c>
      <c r="H23" s="52" t="s">
        <v>13</v>
      </c>
      <c r="I23" s="43">
        <v>1134374374</v>
      </c>
      <c r="J23" s="44">
        <v>39492</v>
      </c>
      <c r="K23" s="459" t="s">
        <v>64</v>
      </c>
      <c r="L23" s="336" t="s">
        <v>620</v>
      </c>
      <c r="M23" s="111"/>
      <c r="N23" s="119"/>
    </row>
    <row r="24" spans="1:18" s="6" customFormat="1" ht="16.05" customHeight="1">
      <c r="B24" s="79">
        <v>21</v>
      </c>
      <c r="C24" s="72" t="s">
        <v>65</v>
      </c>
      <c r="D24" s="82">
        <v>6.21</v>
      </c>
      <c r="E24" s="73">
        <v>1</v>
      </c>
      <c r="F24" s="74">
        <v>48174746</v>
      </c>
      <c r="G24" s="75" t="s">
        <v>66</v>
      </c>
      <c r="H24" s="76" t="s">
        <v>13</v>
      </c>
      <c r="I24" s="77">
        <v>1176005773</v>
      </c>
      <c r="J24" s="80">
        <v>39318</v>
      </c>
      <c r="K24" s="448" t="s">
        <v>67</v>
      </c>
      <c r="L24" s="337" t="s">
        <v>45</v>
      </c>
      <c r="M24" s="125"/>
      <c r="N24" s="126"/>
    </row>
    <row r="25" spans="1:18" s="6" customFormat="1" ht="16.05" customHeight="1">
      <c r="B25" s="47">
        <v>22</v>
      </c>
      <c r="C25" s="49" t="s">
        <v>68</v>
      </c>
      <c r="D25" s="57">
        <v>7.21</v>
      </c>
      <c r="E25" s="61">
        <v>2</v>
      </c>
      <c r="F25" s="54">
        <v>48289633</v>
      </c>
      <c r="G25" s="54">
        <v>1160422113</v>
      </c>
      <c r="H25" s="51" t="s">
        <v>13</v>
      </c>
      <c r="I25" s="40" t="s">
        <v>69</v>
      </c>
      <c r="J25" s="42">
        <v>39266</v>
      </c>
      <c r="K25" s="450" t="s">
        <v>70</v>
      </c>
      <c r="L25" s="338" t="s">
        <v>45</v>
      </c>
      <c r="M25" s="341" t="s">
        <v>49</v>
      </c>
      <c r="N25" s="123"/>
    </row>
    <row r="26" spans="1:18" s="6" customFormat="1" ht="16.05" customHeight="1" thickBot="1">
      <c r="B26" s="47">
        <v>23</v>
      </c>
      <c r="C26" s="49" t="s">
        <v>71</v>
      </c>
      <c r="D26" s="57">
        <v>7.07</v>
      </c>
      <c r="E26" s="61">
        <v>2</v>
      </c>
      <c r="F26" s="53">
        <v>48162941</v>
      </c>
      <c r="G26" s="54">
        <v>1162342010</v>
      </c>
      <c r="H26" s="51" t="s">
        <v>13</v>
      </c>
      <c r="I26" s="40" t="s">
        <v>72</v>
      </c>
      <c r="J26" s="42">
        <v>39309</v>
      </c>
      <c r="K26" s="449" t="s">
        <v>73</v>
      </c>
      <c r="L26" s="336" t="s">
        <v>620</v>
      </c>
      <c r="M26" s="342"/>
      <c r="N26" s="123"/>
    </row>
    <row r="27" spans="1:18" s="6" customFormat="1" ht="16.05" customHeight="1" thickBot="1">
      <c r="B27" s="47">
        <v>24</v>
      </c>
      <c r="C27" s="49" t="s">
        <v>74</v>
      </c>
      <c r="D27" s="58">
        <v>6.93</v>
      </c>
      <c r="E27" s="61">
        <v>2</v>
      </c>
      <c r="F27" s="53">
        <v>94790369</v>
      </c>
      <c r="G27" s="54" t="s">
        <v>75</v>
      </c>
      <c r="H27" s="51" t="s">
        <v>13</v>
      </c>
      <c r="I27" s="40">
        <v>1164987584</v>
      </c>
      <c r="J27" s="42">
        <v>39366</v>
      </c>
      <c r="K27" s="449" t="s">
        <v>76</v>
      </c>
      <c r="L27" s="335" t="s">
        <v>624</v>
      </c>
      <c r="M27" s="342"/>
      <c r="N27" s="123"/>
    </row>
    <row r="28" spans="1:18" s="6" customFormat="1" ht="16.05" customHeight="1" thickBot="1">
      <c r="B28" s="48">
        <v>25</v>
      </c>
      <c r="C28" s="50" t="s">
        <v>77</v>
      </c>
      <c r="D28" s="83">
        <v>6.04</v>
      </c>
      <c r="E28" s="62">
        <v>2</v>
      </c>
      <c r="F28" s="55">
        <v>48576051</v>
      </c>
      <c r="G28" s="56">
        <v>1140278599</v>
      </c>
      <c r="H28" s="52" t="s">
        <v>13</v>
      </c>
      <c r="I28" s="43">
        <v>1123659182</v>
      </c>
      <c r="J28" s="44">
        <v>39471</v>
      </c>
      <c r="K28" s="459" t="s">
        <v>78</v>
      </c>
      <c r="L28" s="335" t="s">
        <v>624</v>
      </c>
      <c r="M28" s="343"/>
      <c r="N28" s="119"/>
    </row>
    <row r="29" spans="1:18" s="6" customFormat="1" ht="16.05" customHeight="1">
      <c r="B29" s="64">
        <v>26</v>
      </c>
      <c r="C29" s="65" t="s">
        <v>79</v>
      </c>
      <c r="D29" s="78">
        <v>6.64</v>
      </c>
      <c r="E29" s="66">
        <v>3</v>
      </c>
      <c r="F29" s="67">
        <v>47203776</v>
      </c>
      <c r="G29" s="68" t="s">
        <v>80</v>
      </c>
      <c r="H29" s="69" t="s">
        <v>13</v>
      </c>
      <c r="I29" s="70">
        <v>1126374895</v>
      </c>
      <c r="J29" s="71">
        <v>38866</v>
      </c>
      <c r="K29" s="458" t="s">
        <v>81</v>
      </c>
      <c r="L29" s="334" t="s">
        <v>45</v>
      </c>
      <c r="M29" s="333" t="s">
        <v>49</v>
      </c>
      <c r="N29" s="121"/>
    </row>
    <row r="30" spans="1:18" s="6" customFormat="1" ht="16.05" customHeight="1">
      <c r="B30" s="47">
        <v>27</v>
      </c>
      <c r="C30" s="49" t="s">
        <v>82</v>
      </c>
      <c r="D30" s="58">
        <v>6.46</v>
      </c>
      <c r="E30" s="305">
        <v>3</v>
      </c>
      <c r="F30" s="53">
        <v>49056979</v>
      </c>
      <c r="G30" s="54">
        <v>1164722568</v>
      </c>
      <c r="H30" s="51" t="s">
        <v>38</v>
      </c>
      <c r="I30" s="40">
        <v>1140434955</v>
      </c>
      <c r="J30" s="41" t="s">
        <v>83</v>
      </c>
      <c r="K30" s="449" t="s">
        <v>84</v>
      </c>
      <c r="L30" s="332" t="s">
        <v>609</v>
      </c>
      <c r="M30" s="341"/>
      <c r="N30" s="109"/>
    </row>
    <row r="31" spans="1:18" s="6" customFormat="1" ht="16.05" customHeight="1">
      <c r="B31" s="47">
        <v>28</v>
      </c>
      <c r="C31" s="49" t="s">
        <v>85</v>
      </c>
      <c r="D31" s="58">
        <v>5.79</v>
      </c>
      <c r="E31" s="61">
        <v>3</v>
      </c>
      <c r="F31" s="53">
        <v>48637636</v>
      </c>
      <c r="G31" s="54" t="s">
        <v>86</v>
      </c>
      <c r="H31" s="51" t="s">
        <v>13</v>
      </c>
      <c r="I31" s="40">
        <v>1122501604</v>
      </c>
      <c r="J31" s="41" t="s">
        <v>87</v>
      </c>
      <c r="K31" s="449" t="s">
        <v>88</v>
      </c>
      <c r="L31" s="294" t="s">
        <v>576</v>
      </c>
      <c r="M31" s="344"/>
      <c r="N31" s="109"/>
    </row>
    <row r="32" spans="1:18" s="6" customFormat="1" ht="16.05" customHeight="1">
      <c r="B32" s="47">
        <v>29</v>
      </c>
      <c r="C32" s="49" t="s">
        <v>89</v>
      </c>
      <c r="D32" s="58">
        <v>5.96</v>
      </c>
      <c r="E32" s="305">
        <v>5</v>
      </c>
      <c r="F32" s="53">
        <v>48239995</v>
      </c>
      <c r="G32" s="54" t="s">
        <v>90</v>
      </c>
      <c r="H32" s="51" t="s">
        <v>38</v>
      </c>
      <c r="I32" s="40">
        <v>1134958337</v>
      </c>
      <c r="J32" s="42">
        <v>39408</v>
      </c>
      <c r="K32" s="450" t="s">
        <v>91</v>
      </c>
      <c r="L32" s="294" t="s">
        <v>576</v>
      </c>
      <c r="M32" s="345"/>
      <c r="N32" s="109"/>
    </row>
    <row r="33" spans="2:14" s="6" customFormat="1" ht="16.05" customHeight="1" thickBot="1">
      <c r="B33" s="48">
        <v>30</v>
      </c>
      <c r="C33" s="50" t="s">
        <v>92</v>
      </c>
      <c r="D33" s="83">
        <v>5.32</v>
      </c>
      <c r="E33" s="62">
        <v>5</v>
      </c>
      <c r="F33" s="55">
        <v>48637710</v>
      </c>
      <c r="G33" s="56">
        <v>1134412313</v>
      </c>
      <c r="H33" s="52" t="s">
        <v>13</v>
      </c>
      <c r="I33" s="43">
        <v>1165727907</v>
      </c>
      <c r="J33" s="44">
        <v>39552</v>
      </c>
      <c r="K33" s="459" t="s">
        <v>93</v>
      </c>
      <c r="L33" s="339" t="s">
        <v>609</v>
      </c>
      <c r="M33" s="346"/>
      <c r="N33" s="113"/>
    </row>
    <row r="34" spans="2:14" s="6" customFormat="1" ht="16.05" customHeight="1">
      <c r="B34" s="79">
        <v>31</v>
      </c>
      <c r="C34" s="72" t="s">
        <v>94</v>
      </c>
      <c r="D34" s="82">
        <v>6.07</v>
      </c>
      <c r="E34" s="73">
        <v>6</v>
      </c>
      <c r="F34" s="74">
        <v>94786656</v>
      </c>
      <c r="G34" s="75" t="s">
        <v>95</v>
      </c>
      <c r="H34" s="76" t="s">
        <v>13</v>
      </c>
      <c r="I34" s="77">
        <v>1134438728</v>
      </c>
      <c r="J34" s="80">
        <v>39245</v>
      </c>
      <c r="K34" s="448" t="s">
        <v>96</v>
      </c>
      <c r="L34" s="294" t="s">
        <v>625</v>
      </c>
      <c r="M34" s="347"/>
      <c r="N34" s="117"/>
    </row>
    <row r="35" spans="2:14" s="6" customFormat="1" ht="16.05" customHeight="1">
      <c r="B35" s="47">
        <v>32</v>
      </c>
      <c r="C35" s="49" t="s">
        <v>97</v>
      </c>
      <c r="D35" s="58">
        <v>5.68</v>
      </c>
      <c r="E35" s="61">
        <v>6</v>
      </c>
      <c r="F35" s="53">
        <v>46911524</v>
      </c>
      <c r="G35" s="54" t="s">
        <v>98</v>
      </c>
      <c r="H35" s="51" t="s">
        <v>13</v>
      </c>
      <c r="I35" s="40">
        <v>1162073304</v>
      </c>
      <c r="J35" s="42">
        <v>38588</v>
      </c>
      <c r="K35" s="449" t="s">
        <v>99</v>
      </c>
      <c r="L35" s="294" t="s">
        <v>565</v>
      </c>
      <c r="M35" s="345"/>
      <c r="N35" s="109"/>
    </row>
    <row r="36" spans="2:14" s="6" customFormat="1" ht="16.05" customHeight="1">
      <c r="B36" s="47">
        <v>33</v>
      </c>
      <c r="C36" s="49" t="s">
        <v>100</v>
      </c>
      <c r="D36" s="58">
        <v>4.3499999999999996</v>
      </c>
      <c r="E36" s="61">
        <v>10</v>
      </c>
      <c r="F36" s="53">
        <v>48637613</v>
      </c>
      <c r="G36" s="54">
        <v>1151802186</v>
      </c>
      <c r="H36" s="51" t="s">
        <v>13</v>
      </c>
      <c r="I36" s="40"/>
      <c r="J36" s="40"/>
      <c r="K36" s="449"/>
      <c r="L36" s="348" t="s">
        <v>45</v>
      </c>
      <c r="M36" s="341" t="s">
        <v>49</v>
      </c>
      <c r="N36" s="109"/>
    </row>
    <row r="37" spans="2:14" s="6" customFormat="1" ht="16.05" customHeight="1">
      <c r="B37" s="47">
        <v>34</v>
      </c>
      <c r="C37" s="49" t="s">
        <v>101</v>
      </c>
      <c r="D37" s="59">
        <v>3.46</v>
      </c>
      <c r="E37" s="61">
        <v>13</v>
      </c>
      <c r="F37" s="53">
        <v>48637639</v>
      </c>
      <c r="G37" s="54" t="s">
        <v>102</v>
      </c>
      <c r="H37" s="51" t="s">
        <v>13</v>
      </c>
      <c r="I37" s="40">
        <v>1136608302</v>
      </c>
      <c r="J37" s="42">
        <v>39537</v>
      </c>
      <c r="K37" s="450" t="s">
        <v>103</v>
      </c>
      <c r="L37" s="340" t="s">
        <v>579</v>
      </c>
      <c r="M37" s="128"/>
      <c r="N37" s="109"/>
    </row>
    <row r="38" spans="2:14" s="6" customFormat="1" ht="16.05" customHeight="1" thickBot="1">
      <c r="B38" s="48">
        <v>35</v>
      </c>
      <c r="C38" s="50" t="s">
        <v>104</v>
      </c>
      <c r="D38" s="60">
        <v>3.07</v>
      </c>
      <c r="E38" s="62">
        <v>14</v>
      </c>
      <c r="F38" s="55">
        <v>46280616</v>
      </c>
      <c r="G38" s="56" t="s">
        <v>105</v>
      </c>
      <c r="H38" s="52" t="s">
        <v>13</v>
      </c>
      <c r="I38" s="43" t="s">
        <v>105</v>
      </c>
      <c r="J38" s="44">
        <v>38327</v>
      </c>
      <c r="K38" s="459" t="s">
        <v>106</v>
      </c>
      <c r="L38" s="349" t="s">
        <v>636</v>
      </c>
      <c r="M38" s="127"/>
      <c r="N38" s="113"/>
    </row>
    <row r="39" spans="2:14" s="6" customFormat="1" ht="16.05" customHeight="1">
      <c r="B39" s="64">
        <v>36</v>
      </c>
      <c r="C39" s="65" t="s">
        <v>107</v>
      </c>
      <c r="D39" s="85">
        <v>2.86</v>
      </c>
      <c r="E39" s="66">
        <v>14</v>
      </c>
      <c r="F39" s="67">
        <v>48372690</v>
      </c>
      <c r="G39" s="68">
        <v>1128538524</v>
      </c>
      <c r="H39" s="69" t="s">
        <v>13</v>
      </c>
      <c r="I39" s="70">
        <v>1136587736</v>
      </c>
      <c r="J39" s="86" t="s">
        <v>108</v>
      </c>
      <c r="K39" s="458" t="s">
        <v>109</v>
      </c>
      <c r="L39" s="340" t="s">
        <v>635</v>
      </c>
      <c r="M39" s="129"/>
      <c r="N39" s="467"/>
    </row>
    <row r="40" spans="2:14" s="6" customFormat="1" ht="16.05" customHeight="1">
      <c r="B40" s="47">
        <v>37</v>
      </c>
      <c r="C40" s="49" t="s">
        <v>110</v>
      </c>
      <c r="D40" s="59">
        <v>3.5</v>
      </c>
      <c r="E40" s="61">
        <v>15</v>
      </c>
      <c r="F40" s="53">
        <v>47556912</v>
      </c>
      <c r="G40" s="54" t="s">
        <v>111</v>
      </c>
      <c r="H40" s="51" t="s">
        <v>13</v>
      </c>
      <c r="I40" s="40">
        <v>1158458479</v>
      </c>
      <c r="J40" s="41" t="s">
        <v>112</v>
      </c>
      <c r="K40" s="449" t="s">
        <v>113</v>
      </c>
      <c r="L40" s="340" t="s">
        <v>579</v>
      </c>
      <c r="M40" s="116"/>
      <c r="N40" s="109"/>
    </row>
    <row r="41" spans="2:14" s="6" customFormat="1" ht="16.05" customHeight="1" thickBot="1">
      <c r="B41" s="48">
        <v>38</v>
      </c>
      <c r="C41" s="50" t="s">
        <v>114</v>
      </c>
      <c r="D41" s="60">
        <v>1</v>
      </c>
      <c r="E41" s="62">
        <v>16</v>
      </c>
      <c r="F41" s="55">
        <v>47559286</v>
      </c>
      <c r="G41" s="56" t="s">
        <v>115</v>
      </c>
      <c r="H41" s="52" t="s">
        <v>13</v>
      </c>
      <c r="I41" s="43">
        <v>1150385389</v>
      </c>
      <c r="J41" s="44">
        <v>38953</v>
      </c>
      <c r="K41" s="459" t="s">
        <v>116</v>
      </c>
      <c r="L41" s="468" t="s">
        <v>650</v>
      </c>
      <c r="M41" s="127"/>
      <c r="N41" s="113"/>
    </row>
    <row r="48" spans="2:14">
      <c r="L48" s="8"/>
      <c r="M48" s="9"/>
    </row>
  </sheetData>
  <mergeCells count="3">
    <mergeCell ref="Q6:Q9"/>
    <mergeCell ref="B2:N2"/>
    <mergeCell ref="N11:N18"/>
  </mergeCells>
  <printOptions horizontalCentered="1" verticalCentered="1"/>
  <pageMargins left="0" right="0" top="0" bottom="0" header="0" footer="0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46"/>
  <sheetViews>
    <sheetView workbookViewId="0">
      <selection activeCell="J46" sqref="B1:J46"/>
    </sheetView>
  </sheetViews>
  <sheetFormatPr baseColWidth="10" defaultRowHeight="14.4"/>
  <cols>
    <col min="2" max="2" width="7.77734375" style="6" bestFit="1" customWidth="1"/>
    <col min="3" max="3" width="32" style="6" customWidth="1"/>
    <col min="4" max="5" width="10" style="6" customWidth="1"/>
    <col min="6" max="6" width="17" style="6" customWidth="1"/>
    <col min="7" max="7" width="18" style="6" customWidth="1"/>
    <col min="8" max="8" width="20.33203125" style="6" bestFit="1" customWidth="1"/>
    <col min="9" max="9" width="14.44140625" style="6" bestFit="1" customWidth="1"/>
    <col min="10" max="10" width="16.5546875" style="6" bestFit="1" customWidth="1"/>
  </cols>
  <sheetData>
    <row r="1" spans="2:10" s="6" customFormat="1" ht="19.2" customHeight="1" thickBot="1">
      <c r="B1" s="490" t="s">
        <v>117</v>
      </c>
      <c r="C1" s="491"/>
      <c r="D1" s="491"/>
      <c r="E1" s="491"/>
      <c r="F1" s="491"/>
      <c r="G1" s="491"/>
      <c r="H1" s="491"/>
      <c r="I1" s="491"/>
      <c r="J1" s="492"/>
    </row>
    <row r="2" spans="2:10" s="6" customFormat="1" ht="17.55" customHeight="1" thickBot="1"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118</v>
      </c>
      <c r="I2" s="102" t="s">
        <v>119</v>
      </c>
      <c r="J2" s="13" t="s">
        <v>120</v>
      </c>
    </row>
    <row r="3" spans="2:10" s="6" customFormat="1" ht="16.05" customHeight="1">
      <c r="B3" s="15">
        <v>1</v>
      </c>
      <c r="C3" s="21" t="s">
        <v>121</v>
      </c>
      <c r="D3" s="24">
        <v>9.7200000000000006</v>
      </c>
      <c r="E3" s="31">
        <v>0</v>
      </c>
      <c r="F3" s="34" t="s">
        <v>122</v>
      </c>
      <c r="G3" s="34" t="s">
        <v>123</v>
      </c>
      <c r="H3" s="103" t="s">
        <v>124</v>
      </c>
      <c r="I3" s="103" t="s">
        <v>607</v>
      </c>
      <c r="J3" s="100" t="s">
        <v>124</v>
      </c>
    </row>
    <row r="4" spans="2:10" s="6" customFormat="1" ht="16.05" customHeight="1">
      <c r="B4" s="16">
        <v>2</v>
      </c>
      <c r="C4" s="22" t="s">
        <v>125</v>
      </c>
      <c r="D4" s="25">
        <v>9.64</v>
      </c>
      <c r="E4" s="32">
        <v>0</v>
      </c>
      <c r="F4" s="35" t="s">
        <v>126</v>
      </c>
      <c r="G4" s="35" t="s">
        <v>127</v>
      </c>
      <c r="H4" s="104" t="s">
        <v>124</v>
      </c>
      <c r="I4" s="104" t="s">
        <v>607</v>
      </c>
      <c r="J4" s="101" t="s">
        <v>218</v>
      </c>
    </row>
    <row r="5" spans="2:10" s="6" customFormat="1" ht="16.05" customHeight="1">
      <c r="B5" s="17">
        <v>3</v>
      </c>
      <c r="C5" s="22" t="s">
        <v>128</v>
      </c>
      <c r="D5" s="25">
        <v>9.57</v>
      </c>
      <c r="E5" s="32">
        <v>0</v>
      </c>
      <c r="F5" s="35" t="s">
        <v>129</v>
      </c>
      <c r="G5" s="35" t="s">
        <v>130</v>
      </c>
      <c r="H5" s="104"/>
      <c r="I5" s="104" t="s">
        <v>607</v>
      </c>
      <c r="J5" s="38"/>
    </row>
    <row r="6" spans="2:10" s="6" customFormat="1" ht="16.05" customHeight="1">
      <c r="B6" s="18">
        <v>4</v>
      </c>
      <c r="C6" s="22" t="s">
        <v>131</v>
      </c>
      <c r="D6" s="25">
        <v>9.2799999999999994</v>
      </c>
      <c r="E6" s="32">
        <v>0</v>
      </c>
      <c r="F6" s="35" t="s">
        <v>132</v>
      </c>
      <c r="G6" s="35" t="s">
        <v>133</v>
      </c>
      <c r="H6" s="104" t="s">
        <v>571</v>
      </c>
      <c r="I6" s="104" t="s">
        <v>575</v>
      </c>
      <c r="J6" s="38"/>
    </row>
    <row r="7" spans="2:10" s="6" customFormat="1" ht="16.05" customHeight="1" thickBot="1">
      <c r="B7" s="19">
        <v>5</v>
      </c>
      <c r="C7" s="23" t="s">
        <v>134</v>
      </c>
      <c r="D7" s="26">
        <v>9.18</v>
      </c>
      <c r="E7" s="33">
        <v>0</v>
      </c>
      <c r="F7" s="36" t="s">
        <v>135</v>
      </c>
      <c r="G7" s="36" t="s">
        <v>136</v>
      </c>
      <c r="H7" s="104" t="s">
        <v>571</v>
      </c>
      <c r="I7" s="104" t="s">
        <v>619</v>
      </c>
      <c r="J7" s="39"/>
    </row>
    <row r="8" spans="2:10" s="6" customFormat="1" ht="16.05" customHeight="1">
      <c r="B8" s="20">
        <v>6</v>
      </c>
      <c r="C8" s="21" t="s">
        <v>137</v>
      </c>
      <c r="D8" s="24">
        <v>9.1</v>
      </c>
      <c r="E8" s="31">
        <v>0</v>
      </c>
      <c r="F8" s="34" t="s">
        <v>138</v>
      </c>
      <c r="G8" s="34" t="s">
        <v>139</v>
      </c>
      <c r="H8" s="104" t="s">
        <v>124</v>
      </c>
      <c r="I8" s="103" t="s">
        <v>606</v>
      </c>
      <c r="J8" s="37"/>
    </row>
    <row r="9" spans="2:10" s="6" customFormat="1" ht="16.05" customHeight="1">
      <c r="B9" s="18">
        <v>7</v>
      </c>
      <c r="C9" s="22" t="s">
        <v>140</v>
      </c>
      <c r="D9" s="25">
        <v>9.07</v>
      </c>
      <c r="E9" s="32">
        <v>0</v>
      </c>
      <c r="F9" s="35" t="s">
        <v>141</v>
      </c>
      <c r="G9" s="35" t="s">
        <v>136</v>
      </c>
      <c r="H9" s="104" t="s">
        <v>571</v>
      </c>
      <c r="I9" s="104" t="s">
        <v>619</v>
      </c>
      <c r="J9" s="38"/>
    </row>
    <row r="10" spans="2:10" s="6" customFormat="1" ht="16.05" customHeight="1" thickBot="1">
      <c r="B10" s="18">
        <v>8</v>
      </c>
      <c r="C10" s="22" t="s">
        <v>142</v>
      </c>
      <c r="D10" s="25">
        <v>9.07</v>
      </c>
      <c r="E10" s="32">
        <v>0</v>
      </c>
      <c r="F10" s="35" t="s">
        <v>143</v>
      </c>
      <c r="G10" s="35" t="s">
        <v>144</v>
      </c>
      <c r="H10" s="104" t="s">
        <v>124</v>
      </c>
      <c r="I10" s="104" t="s">
        <v>607</v>
      </c>
      <c r="J10" s="38"/>
    </row>
    <row r="11" spans="2:10" s="6" customFormat="1" ht="16.05" customHeight="1">
      <c r="B11" s="18">
        <v>9</v>
      </c>
      <c r="C11" s="22" t="s">
        <v>145</v>
      </c>
      <c r="D11" s="25">
        <v>8.93</v>
      </c>
      <c r="E11" s="32">
        <v>0</v>
      </c>
      <c r="F11" s="35" t="s">
        <v>146</v>
      </c>
      <c r="G11" s="35" t="s">
        <v>147</v>
      </c>
      <c r="H11" s="104" t="s">
        <v>124</v>
      </c>
      <c r="I11" s="103" t="s">
        <v>606</v>
      </c>
      <c r="J11" s="104" t="s">
        <v>619</v>
      </c>
    </row>
    <row r="12" spans="2:10" s="6" customFormat="1" ht="16.05" customHeight="1" thickBot="1">
      <c r="B12" s="19">
        <v>10</v>
      </c>
      <c r="C12" s="23" t="s">
        <v>148</v>
      </c>
      <c r="D12" s="26">
        <v>8.85</v>
      </c>
      <c r="E12" s="304">
        <v>0</v>
      </c>
      <c r="F12" s="36" t="s">
        <v>149</v>
      </c>
      <c r="G12" s="36" t="s">
        <v>150</v>
      </c>
      <c r="H12" s="105" t="s">
        <v>581</v>
      </c>
      <c r="I12" s="105"/>
      <c r="J12" s="39"/>
    </row>
    <row r="13" spans="2:10" s="6" customFormat="1" ht="16.05" customHeight="1">
      <c r="B13" s="20">
        <v>11</v>
      </c>
      <c r="C13" s="21" t="s">
        <v>151</v>
      </c>
      <c r="D13" s="24">
        <v>8.85</v>
      </c>
      <c r="E13" s="31">
        <v>0</v>
      </c>
      <c r="F13" s="34" t="s">
        <v>152</v>
      </c>
      <c r="G13" s="34" t="s">
        <v>153</v>
      </c>
      <c r="H13" s="103" t="s">
        <v>124</v>
      </c>
      <c r="I13" s="103" t="s">
        <v>154</v>
      </c>
      <c r="J13" s="37"/>
    </row>
    <row r="14" spans="2:10" s="6" customFormat="1" ht="16.05" customHeight="1">
      <c r="B14" s="18">
        <v>12</v>
      </c>
      <c r="C14" s="22" t="s">
        <v>155</v>
      </c>
      <c r="D14" s="25">
        <v>8.7799999999999994</v>
      </c>
      <c r="E14" s="32">
        <v>0</v>
      </c>
      <c r="F14" s="35" t="s">
        <v>156</v>
      </c>
      <c r="G14" s="35" t="s">
        <v>157</v>
      </c>
      <c r="H14" s="104" t="s">
        <v>124</v>
      </c>
      <c r="I14" s="104" t="s">
        <v>581</v>
      </c>
      <c r="J14" s="38"/>
    </row>
    <row r="15" spans="2:10" s="6" customFormat="1" ht="16.05" customHeight="1">
      <c r="B15" s="18">
        <v>13</v>
      </c>
      <c r="C15" s="22" t="s">
        <v>158</v>
      </c>
      <c r="D15" s="25">
        <v>8.75</v>
      </c>
      <c r="E15" s="32">
        <v>0</v>
      </c>
      <c r="F15" s="35" t="s">
        <v>159</v>
      </c>
      <c r="G15" s="35" t="s">
        <v>160</v>
      </c>
      <c r="H15" s="104" t="s">
        <v>124</v>
      </c>
      <c r="I15" s="104" t="s">
        <v>571</v>
      </c>
      <c r="J15" s="38"/>
    </row>
    <row r="16" spans="2:10" s="6" customFormat="1" ht="16.05" customHeight="1">
      <c r="B16" s="18">
        <v>14</v>
      </c>
      <c r="C16" s="22" t="s">
        <v>161</v>
      </c>
      <c r="D16" s="25">
        <v>8.75</v>
      </c>
      <c r="E16" s="32">
        <v>0</v>
      </c>
      <c r="F16" s="35" t="s">
        <v>162</v>
      </c>
      <c r="G16" s="35" t="s">
        <v>163</v>
      </c>
      <c r="H16" s="104" t="s">
        <v>124</v>
      </c>
      <c r="I16" s="104" t="s">
        <v>573</v>
      </c>
      <c r="J16" s="38"/>
    </row>
    <row r="17" spans="2:10" s="6" customFormat="1" ht="16.05" customHeight="1" thickBot="1">
      <c r="B17" s="19">
        <v>15</v>
      </c>
      <c r="C17" s="23" t="s">
        <v>164</v>
      </c>
      <c r="D17" s="26">
        <v>8.7100000000000009</v>
      </c>
      <c r="E17" s="33">
        <v>0</v>
      </c>
      <c r="F17" s="36" t="s">
        <v>165</v>
      </c>
      <c r="G17" s="36" t="s">
        <v>166</v>
      </c>
      <c r="H17" s="104" t="s">
        <v>124</v>
      </c>
      <c r="I17" s="105" t="s">
        <v>576</v>
      </c>
      <c r="J17" s="39"/>
    </row>
    <row r="18" spans="2:10" s="6" customFormat="1" ht="16.05" customHeight="1">
      <c r="B18" s="20">
        <v>16</v>
      </c>
      <c r="C18" s="21" t="s">
        <v>167</v>
      </c>
      <c r="D18" s="24">
        <v>8.57</v>
      </c>
      <c r="E18" s="31">
        <v>0</v>
      </c>
      <c r="F18" s="34" t="s">
        <v>168</v>
      </c>
      <c r="G18" s="34" t="s">
        <v>169</v>
      </c>
      <c r="H18" s="103" t="s">
        <v>575</v>
      </c>
      <c r="I18" s="103" t="s">
        <v>576</v>
      </c>
      <c r="J18" s="37"/>
    </row>
    <row r="19" spans="2:10" s="6" customFormat="1" ht="16.05" customHeight="1">
      <c r="B19" s="18">
        <v>17</v>
      </c>
      <c r="C19" s="22" t="s">
        <v>170</v>
      </c>
      <c r="D19" s="25">
        <v>8.4600000000000009</v>
      </c>
      <c r="E19" s="32">
        <v>0</v>
      </c>
      <c r="F19" s="35" t="s">
        <v>171</v>
      </c>
      <c r="G19" s="35" t="s">
        <v>172</v>
      </c>
      <c r="H19" s="104" t="s">
        <v>124</v>
      </c>
      <c r="I19" s="289" t="s">
        <v>566</v>
      </c>
      <c r="J19" s="38"/>
    </row>
    <row r="20" spans="2:10" s="6" customFormat="1" ht="16.05" customHeight="1">
      <c r="B20" s="18">
        <v>18</v>
      </c>
      <c r="C20" s="22" t="s">
        <v>173</v>
      </c>
      <c r="D20" s="25">
        <v>8.2799999999999994</v>
      </c>
      <c r="E20" s="32">
        <v>0</v>
      </c>
      <c r="F20" s="35" t="s">
        <v>174</v>
      </c>
      <c r="G20" s="35" t="s">
        <v>175</v>
      </c>
      <c r="H20" s="104" t="s">
        <v>124</v>
      </c>
      <c r="I20" s="289" t="s">
        <v>566</v>
      </c>
      <c r="J20" s="38"/>
    </row>
    <row r="21" spans="2:10" s="6" customFormat="1" ht="16.05" customHeight="1">
      <c r="B21" s="18">
        <v>19</v>
      </c>
      <c r="C21" s="22" t="s">
        <v>176</v>
      </c>
      <c r="D21" s="25">
        <v>8.17</v>
      </c>
      <c r="E21" s="32">
        <v>0</v>
      </c>
      <c r="F21" s="35" t="s">
        <v>177</v>
      </c>
      <c r="G21" s="35" t="s">
        <v>178</v>
      </c>
      <c r="H21" s="104" t="s">
        <v>124</v>
      </c>
      <c r="I21" s="104" t="s">
        <v>609</v>
      </c>
      <c r="J21" s="38"/>
    </row>
    <row r="22" spans="2:10" s="6" customFormat="1" ht="16.05" customHeight="1" thickBot="1">
      <c r="B22" s="19">
        <v>20</v>
      </c>
      <c r="C22" s="23" t="s">
        <v>179</v>
      </c>
      <c r="D22" s="27">
        <v>0</v>
      </c>
      <c r="E22" s="33"/>
      <c r="F22" s="36" t="s">
        <v>180</v>
      </c>
      <c r="G22" s="36" t="s">
        <v>181</v>
      </c>
      <c r="H22" s="105"/>
      <c r="I22" s="105"/>
      <c r="J22" s="39"/>
    </row>
    <row r="23" spans="2:10" s="6" customFormat="1" ht="16.05" customHeight="1" thickBot="1">
      <c r="B23" s="20">
        <v>21</v>
      </c>
      <c r="C23" s="21" t="s">
        <v>182</v>
      </c>
      <c r="D23" s="24">
        <v>7.53</v>
      </c>
      <c r="E23" s="31">
        <v>1</v>
      </c>
      <c r="F23" s="34" t="s">
        <v>183</v>
      </c>
      <c r="G23" s="34" t="s">
        <v>184</v>
      </c>
      <c r="H23" s="103" t="s">
        <v>606</v>
      </c>
      <c r="I23" s="103"/>
      <c r="J23" s="37"/>
    </row>
    <row r="24" spans="2:10" s="6" customFormat="1" ht="16.05" customHeight="1">
      <c r="B24" s="18">
        <v>22</v>
      </c>
      <c r="C24" s="22" t="s">
        <v>185</v>
      </c>
      <c r="D24" s="25">
        <v>7.5</v>
      </c>
      <c r="E24" s="32">
        <v>1</v>
      </c>
      <c r="F24" s="35" t="s">
        <v>186</v>
      </c>
      <c r="G24" s="35" t="s">
        <v>187</v>
      </c>
      <c r="H24" s="103" t="s">
        <v>606</v>
      </c>
      <c r="I24" s="104"/>
      <c r="J24" s="38"/>
    </row>
    <row r="25" spans="2:10" s="6" customFormat="1" ht="16.05" customHeight="1">
      <c r="B25" s="18">
        <v>23</v>
      </c>
      <c r="C25" s="22" t="s">
        <v>188</v>
      </c>
      <c r="D25" s="28">
        <v>6.46</v>
      </c>
      <c r="E25" s="32">
        <v>1</v>
      </c>
      <c r="F25" s="35" t="s">
        <v>189</v>
      </c>
      <c r="G25" s="35" t="s">
        <v>190</v>
      </c>
      <c r="H25" s="104" t="s">
        <v>124</v>
      </c>
      <c r="I25" s="104" t="s">
        <v>154</v>
      </c>
      <c r="J25" s="38"/>
    </row>
    <row r="26" spans="2:10" s="6" customFormat="1" ht="16.05" customHeight="1">
      <c r="B26" s="18">
        <v>24</v>
      </c>
      <c r="C26" s="22" t="s">
        <v>191</v>
      </c>
      <c r="D26" s="25">
        <v>7.5</v>
      </c>
      <c r="E26" s="32">
        <v>2</v>
      </c>
      <c r="F26" s="35" t="s">
        <v>192</v>
      </c>
      <c r="G26" s="35" t="s">
        <v>193</v>
      </c>
      <c r="H26" s="104" t="s">
        <v>124</v>
      </c>
      <c r="I26" s="104" t="s">
        <v>619</v>
      </c>
      <c r="J26" s="38"/>
    </row>
    <row r="27" spans="2:10" s="6" customFormat="1" ht="16.05" customHeight="1" thickBot="1">
      <c r="B27" s="19">
        <v>25</v>
      </c>
      <c r="C27" s="23" t="s">
        <v>194</v>
      </c>
      <c r="D27" s="26">
        <v>7.14</v>
      </c>
      <c r="E27" s="33">
        <v>2</v>
      </c>
      <c r="F27" s="36" t="s">
        <v>195</v>
      </c>
      <c r="G27" s="36" t="s">
        <v>196</v>
      </c>
      <c r="H27" s="105" t="s">
        <v>124</v>
      </c>
      <c r="I27" s="105" t="s">
        <v>154</v>
      </c>
      <c r="J27" s="39"/>
    </row>
    <row r="28" spans="2:10" s="6" customFormat="1" ht="16.05" customHeight="1">
      <c r="B28" s="20">
        <v>26</v>
      </c>
      <c r="C28" s="21" t="s">
        <v>197</v>
      </c>
      <c r="D28" s="29">
        <v>6.35</v>
      </c>
      <c r="E28" s="31">
        <v>2</v>
      </c>
      <c r="F28" s="34" t="s">
        <v>198</v>
      </c>
      <c r="G28" s="34" t="s">
        <v>199</v>
      </c>
      <c r="H28" s="299" t="s">
        <v>618</v>
      </c>
      <c r="I28" s="103"/>
      <c r="J28" s="11"/>
    </row>
    <row r="29" spans="2:10" s="6" customFormat="1" ht="16.05" customHeight="1">
      <c r="B29" s="18">
        <v>27</v>
      </c>
      <c r="C29" s="22" t="s">
        <v>200</v>
      </c>
      <c r="D29" s="28">
        <v>6.1</v>
      </c>
      <c r="E29" s="32">
        <v>2</v>
      </c>
      <c r="F29" s="35" t="s">
        <v>201</v>
      </c>
      <c r="G29" s="35" t="s">
        <v>202</v>
      </c>
      <c r="H29" s="104" t="s">
        <v>619</v>
      </c>
      <c r="I29" s="104"/>
      <c r="J29" s="38"/>
    </row>
    <row r="30" spans="2:10" s="6" customFormat="1" ht="16.05" customHeight="1">
      <c r="B30" s="18">
        <v>28</v>
      </c>
      <c r="C30" s="22" t="s">
        <v>203</v>
      </c>
      <c r="D30" s="28">
        <v>6.28</v>
      </c>
      <c r="E30" s="32">
        <v>3</v>
      </c>
      <c r="F30" s="35" t="s">
        <v>204</v>
      </c>
      <c r="G30" s="35" t="s">
        <v>205</v>
      </c>
      <c r="H30" s="104" t="s">
        <v>578</v>
      </c>
      <c r="I30" s="104"/>
      <c r="J30" s="38"/>
    </row>
    <row r="31" spans="2:10" s="6" customFormat="1" ht="16.05" customHeight="1">
      <c r="B31" s="18">
        <v>29</v>
      </c>
      <c r="C31" s="22" t="s">
        <v>206</v>
      </c>
      <c r="D31" s="28">
        <v>6.89</v>
      </c>
      <c r="E31" s="32">
        <v>4</v>
      </c>
      <c r="F31" s="35" t="s">
        <v>207</v>
      </c>
      <c r="G31" s="35" t="s">
        <v>208</v>
      </c>
      <c r="H31" s="104" t="s">
        <v>578</v>
      </c>
      <c r="I31" s="104"/>
      <c r="J31" s="38"/>
    </row>
    <row r="32" spans="2:10" s="6" customFormat="1" ht="16.05" customHeight="1" thickBot="1">
      <c r="B32" s="19">
        <v>30</v>
      </c>
      <c r="C32" s="23" t="s">
        <v>209</v>
      </c>
      <c r="D32" s="30">
        <v>6.82</v>
      </c>
      <c r="E32" s="33">
        <v>4</v>
      </c>
      <c r="F32" s="36" t="s">
        <v>210</v>
      </c>
      <c r="G32" s="36" t="s">
        <v>211</v>
      </c>
      <c r="H32" s="105" t="s">
        <v>625</v>
      </c>
      <c r="I32" s="105"/>
      <c r="J32" s="39"/>
    </row>
    <row r="33" spans="2:10" s="6" customFormat="1" ht="16.05" customHeight="1">
      <c r="B33" s="20">
        <v>31</v>
      </c>
      <c r="C33" s="21" t="s">
        <v>212</v>
      </c>
      <c r="D33" s="29">
        <v>6.16</v>
      </c>
      <c r="E33" s="31">
        <v>4</v>
      </c>
      <c r="F33" s="34" t="s">
        <v>213</v>
      </c>
      <c r="G33" s="34" t="s">
        <v>214</v>
      </c>
      <c r="H33" s="103" t="s">
        <v>124</v>
      </c>
      <c r="I33" s="103"/>
      <c r="J33" s="37"/>
    </row>
    <row r="34" spans="2:10" s="6" customFormat="1" ht="16.05" customHeight="1">
      <c r="B34" s="18">
        <v>32</v>
      </c>
      <c r="C34" s="22" t="s">
        <v>215</v>
      </c>
      <c r="D34" s="28">
        <v>5.96</v>
      </c>
      <c r="E34" s="32">
        <v>5</v>
      </c>
      <c r="F34" s="35" t="s">
        <v>216</v>
      </c>
      <c r="G34" s="35" t="s">
        <v>217</v>
      </c>
      <c r="H34" s="104" t="s">
        <v>124</v>
      </c>
      <c r="I34" s="104" t="s">
        <v>154</v>
      </c>
      <c r="J34" s="12"/>
    </row>
    <row r="35" spans="2:10" s="6" customFormat="1" ht="16.05" customHeight="1">
      <c r="B35" s="18">
        <v>33</v>
      </c>
      <c r="C35" s="22" t="s">
        <v>219</v>
      </c>
      <c r="D35" s="28">
        <v>5.53</v>
      </c>
      <c r="E35" s="32">
        <v>5</v>
      </c>
      <c r="F35" s="35" t="s">
        <v>220</v>
      </c>
      <c r="G35" s="35" t="s">
        <v>221</v>
      </c>
      <c r="H35" s="104" t="s">
        <v>124</v>
      </c>
      <c r="I35" s="104"/>
      <c r="J35" s="38"/>
    </row>
    <row r="36" spans="2:10" s="6" customFormat="1" ht="16.05" customHeight="1">
      <c r="B36" s="18">
        <v>34</v>
      </c>
      <c r="C36" s="22" t="s">
        <v>222</v>
      </c>
      <c r="D36" s="28">
        <v>5.75</v>
      </c>
      <c r="E36" s="32">
        <v>6</v>
      </c>
      <c r="F36" s="35" t="s">
        <v>633</v>
      </c>
      <c r="G36" s="35" t="s">
        <v>223</v>
      </c>
      <c r="H36" s="104" t="s">
        <v>577</v>
      </c>
      <c r="I36" s="104"/>
      <c r="J36" s="38"/>
    </row>
    <row r="37" spans="2:10" s="6" customFormat="1" ht="16.05" customHeight="1" thickBot="1">
      <c r="B37" s="19">
        <v>35</v>
      </c>
      <c r="C37" s="23" t="s">
        <v>224</v>
      </c>
      <c r="D37" s="30">
        <v>5.39</v>
      </c>
      <c r="E37" s="33">
        <v>6</v>
      </c>
      <c r="F37" s="36" t="s">
        <v>225</v>
      </c>
      <c r="G37" s="36" t="s">
        <v>226</v>
      </c>
      <c r="H37" s="105" t="s">
        <v>124</v>
      </c>
      <c r="I37" s="105"/>
      <c r="J37" s="39"/>
    </row>
    <row r="38" spans="2:10" s="6" customFormat="1" ht="16.05" customHeight="1">
      <c r="B38" s="20">
        <v>36</v>
      </c>
      <c r="C38" s="21" t="s">
        <v>227</v>
      </c>
      <c r="D38" s="29">
        <v>5.17</v>
      </c>
      <c r="E38" s="31">
        <v>6</v>
      </c>
      <c r="F38" s="34" t="s">
        <v>228</v>
      </c>
      <c r="G38" s="34" t="s">
        <v>229</v>
      </c>
      <c r="H38" s="103"/>
      <c r="I38" s="103" t="s">
        <v>154</v>
      </c>
      <c r="J38" s="37"/>
    </row>
    <row r="39" spans="2:10" s="6" customFormat="1" ht="16.05" customHeight="1">
      <c r="B39" s="18">
        <v>37</v>
      </c>
      <c r="C39" s="22" t="s">
        <v>230</v>
      </c>
      <c r="D39" s="28">
        <v>5.14</v>
      </c>
      <c r="E39" s="32">
        <v>7</v>
      </c>
      <c r="F39" s="35" t="s">
        <v>231</v>
      </c>
      <c r="G39" s="35" t="s">
        <v>232</v>
      </c>
      <c r="H39" s="104" t="s">
        <v>124</v>
      </c>
      <c r="I39" s="104"/>
      <c r="J39" s="38"/>
    </row>
    <row r="40" spans="2:10" s="6" customFormat="1" ht="16.05" customHeight="1">
      <c r="B40" s="18">
        <v>38</v>
      </c>
      <c r="C40" s="22" t="s">
        <v>233</v>
      </c>
      <c r="D40" s="28">
        <v>5</v>
      </c>
      <c r="E40" s="32">
        <v>8</v>
      </c>
      <c r="F40" s="35" t="s">
        <v>234</v>
      </c>
      <c r="G40" s="35" t="s">
        <v>235</v>
      </c>
      <c r="H40" s="104" t="s">
        <v>124</v>
      </c>
      <c r="I40" s="104"/>
      <c r="J40" s="38"/>
    </row>
    <row r="41" spans="2:10" s="6" customFormat="1" ht="16.05" customHeight="1">
      <c r="B41" s="18">
        <v>39</v>
      </c>
      <c r="C41" s="22" t="s">
        <v>236</v>
      </c>
      <c r="D41" s="28">
        <v>4.1399999999999997</v>
      </c>
      <c r="E41" s="32">
        <v>8</v>
      </c>
      <c r="F41" s="35" t="s">
        <v>237</v>
      </c>
      <c r="G41" s="35" t="s">
        <v>238</v>
      </c>
      <c r="H41" s="104" t="s">
        <v>124</v>
      </c>
      <c r="I41" s="104" t="s">
        <v>577</v>
      </c>
      <c r="J41" s="38"/>
    </row>
    <row r="42" spans="2:10" s="6" customFormat="1" ht="16.05" customHeight="1" thickBot="1">
      <c r="B42" s="19">
        <v>40</v>
      </c>
      <c r="C42" s="23" t="s">
        <v>239</v>
      </c>
      <c r="D42" s="30">
        <v>4</v>
      </c>
      <c r="E42" s="33">
        <v>8</v>
      </c>
      <c r="F42" s="36" t="s">
        <v>240</v>
      </c>
      <c r="G42" s="36" t="s">
        <v>241</v>
      </c>
      <c r="H42" s="105" t="s">
        <v>634</v>
      </c>
      <c r="I42" s="105"/>
      <c r="J42" s="39"/>
    </row>
    <row r="43" spans="2:10" s="6" customFormat="1" ht="16.05" customHeight="1">
      <c r="B43" s="20">
        <v>41</v>
      </c>
      <c r="C43" s="21" t="s">
        <v>242</v>
      </c>
      <c r="D43" s="29">
        <v>4.42</v>
      </c>
      <c r="E43" s="31">
        <v>9</v>
      </c>
      <c r="F43" s="34" t="s">
        <v>243</v>
      </c>
      <c r="G43" s="34" t="s">
        <v>244</v>
      </c>
      <c r="H43" s="103" t="s">
        <v>577</v>
      </c>
      <c r="I43" s="103"/>
      <c r="J43" s="37"/>
    </row>
    <row r="44" spans="2:10" s="6" customFormat="1" ht="16.05" customHeight="1">
      <c r="B44" s="18">
        <v>42</v>
      </c>
      <c r="C44" s="22" t="s">
        <v>245</v>
      </c>
      <c r="D44" s="28">
        <v>4.25</v>
      </c>
      <c r="E44" s="32">
        <v>9</v>
      </c>
      <c r="F44" s="35" t="s">
        <v>246</v>
      </c>
      <c r="G44" s="35" t="s">
        <v>247</v>
      </c>
      <c r="H44" s="104" t="s">
        <v>124</v>
      </c>
      <c r="I44" s="104"/>
      <c r="J44" s="38"/>
    </row>
    <row r="45" spans="2:10" s="6" customFormat="1" ht="16.05" customHeight="1">
      <c r="B45" s="18">
        <v>43</v>
      </c>
      <c r="C45" s="22" t="s">
        <v>248</v>
      </c>
      <c r="D45" s="28">
        <v>4.5</v>
      </c>
      <c r="E45" s="32">
        <v>10</v>
      </c>
      <c r="F45" s="35" t="s">
        <v>249</v>
      </c>
      <c r="G45" s="35" t="s">
        <v>250</v>
      </c>
      <c r="H45" s="104" t="s">
        <v>124</v>
      </c>
      <c r="I45" s="104"/>
      <c r="J45" s="38"/>
    </row>
    <row r="46" spans="2:10" s="6" customFormat="1" ht="16.05" customHeight="1" thickBot="1">
      <c r="B46" s="19">
        <v>44</v>
      </c>
      <c r="C46" s="23" t="s">
        <v>251</v>
      </c>
      <c r="D46" s="30">
        <v>6.17</v>
      </c>
      <c r="E46" s="304">
        <v>20</v>
      </c>
      <c r="F46" s="36" t="s">
        <v>252</v>
      </c>
      <c r="G46" s="36" t="s">
        <v>253</v>
      </c>
      <c r="H46" s="105" t="s">
        <v>124</v>
      </c>
      <c r="I46" s="105"/>
      <c r="J46" s="39"/>
    </row>
  </sheetData>
  <mergeCells count="1">
    <mergeCell ref="B1:J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T76"/>
  <sheetViews>
    <sheetView topLeftCell="B1" workbookViewId="0">
      <selection activeCell="C3" sqref="C3:C76"/>
    </sheetView>
  </sheetViews>
  <sheetFormatPr baseColWidth="10" defaultRowHeight="14.4"/>
  <cols>
    <col min="2" max="2" width="7.77734375" style="6" bestFit="1" customWidth="1"/>
    <col min="3" max="3" width="32" style="6" customWidth="1"/>
    <col min="4" max="4" width="10" style="6" customWidth="1"/>
    <col min="5" max="5" width="12.21875" style="6" bestFit="1" customWidth="1"/>
    <col min="6" max="6" width="10.6640625" style="6" bestFit="1" customWidth="1"/>
    <col min="7" max="7" width="32" style="6" customWidth="1"/>
    <col min="8" max="8" width="10" style="6" customWidth="1"/>
    <col min="9" max="9" width="14" style="6" customWidth="1"/>
    <col min="10" max="10" width="10" style="6" customWidth="1"/>
    <col min="11" max="11" width="18.109375" style="6" bestFit="1" customWidth="1"/>
    <col min="12" max="12" width="23.109375" style="3" customWidth="1"/>
    <col min="13" max="13" width="17.5546875" customWidth="1"/>
  </cols>
  <sheetData>
    <row r="1" spans="2:20" s="6" customFormat="1" ht="19.2" customHeight="1" thickBot="1">
      <c r="B1" s="493" t="s">
        <v>254</v>
      </c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</row>
    <row r="2" spans="2:20" s="6" customFormat="1" ht="33" customHeight="1" thickBot="1">
      <c r="B2" s="14" t="s">
        <v>1</v>
      </c>
      <c r="C2" s="14" t="s">
        <v>2</v>
      </c>
      <c r="D2" s="14" t="s">
        <v>3</v>
      </c>
      <c r="E2" s="99" t="s">
        <v>255</v>
      </c>
      <c r="F2" s="99" t="s">
        <v>256</v>
      </c>
      <c r="G2" s="14" t="s">
        <v>257</v>
      </c>
      <c r="H2" s="14" t="s">
        <v>5</v>
      </c>
      <c r="I2" s="172" t="s">
        <v>375</v>
      </c>
      <c r="J2" s="14" t="s">
        <v>7</v>
      </c>
      <c r="K2" s="63" t="s">
        <v>9</v>
      </c>
      <c r="L2" s="63" t="s">
        <v>10</v>
      </c>
      <c r="M2" s="63" t="s">
        <v>456</v>
      </c>
    </row>
    <row r="3" spans="2:20" s="6" customFormat="1" ht="16.05" customHeight="1" thickBot="1">
      <c r="B3" s="15">
        <v>1</v>
      </c>
      <c r="C3" s="21" t="s">
        <v>258</v>
      </c>
      <c r="D3" s="88">
        <v>9.84</v>
      </c>
      <c r="E3" s="96">
        <v>0</v>
      </c>
      <c r="F3" s="34">
        <v>33</v>
      </c>
      <c r="G3" s="34" t="s">
        <v>258</v>
      </c>
      <c r="H3" s="173">
        <v>48567432</v>
      </c>
      <c r="I3" s="34">
        <v>1161171046</v>
      </c>
      <c r="J3" s="176" t="s">
        <v>38</v>
      </c>
      <c r="K3" s="182"/>
      <c r="L3" s="183"/>
      <c r="M3" s="184"/>
    </row>
    <row r="4" spans="2:20" s="6" customFormat="1" ht="16.05" customHeight="1" thickBot="1">
      <c r="B4" s="16">
        <v>2</v>
      </c>
      <c r="C4" s="22" t="s">
        <v>259</v>
      </c>
      <c r="D4" s="89">
        <v>9.4600000000000009</v>
      </c>
      <c r="E4" s="97">
        <v>0</v>
      </c>
      <c r="F4" s="35">
        <v>38</v>
      </c>
      <c r="G4" s="35" t="s">
        <v>259</v>
      </c>
      <c r="H4" s="174">
        <v>48181362</v>
      </c>
      <c r="I4" s="35" t="s">
        <v>260</v>
      </c>
      <c r="J4" s="177" t="s">
        <v>38</v>
      </c>
      <c r="K4" s="185"/>
      <c r="L4" s="180"/>
      <c r="M4" s="186"/>
      <c r="S4" s="87" t="s">
        <v>11</v>
      </c>
      <c r="T4" s="10">
        <v>28</v>
      </c>
    </row>
    <row r="5" spans="2:20" s="6" customFormat="1" ht="16.05" customHeight="1" thickBot="1">
      <c r="B5" s="17">
        <v>3</v>
      </c>
      <c r="C5" s="22" t="s">
        <v>261</v>
      </c>
      <c r="D5" s="89">
        <v>9.26</v>
      </c>
      <c r="E5" s="97">
        <v>0</v>
      </c>
      <c r="F5" s="35">
        <v>34</v>
      </c>
      <c r="G5" s="35" t="s">
        <v>261</v>
      </c>
      <c r="H5" s="174">
        <v>48241816</v>
      </c>
      <c r="I5" s="35" t="s">
        <v>262</v>
      </c>
      <c r="J5" s="177" t="s">
        <v>38</v>
      </c>
      <c r="K5" s="185"/>
      <c r="L5" s="180"/>
      <c r="M5" s="186"/>
      <c r="S5" s="87" t="s">
        <v>16</v>
      </c>
      <c r="T5" s="10">
        <v>46</v>
      </c>
    </row>
    <row r="6" spans="2:20" s="6" customFormat="1" ht="16.05" customHeight="1" thickBot="1">
      <c r="B6" s="18">
        <v>4</v>
      </c>
      <c r="C6" s="22" t="s">
        <v>263</v>
      </c>
      <c r="D6" s="89">
        <v>9.23</v>
      </c>
      <c r="E6" s="97">
        <v>0</v>
      </c>
      <c r="F6" s="35">
        <v>5</v>
      </c>
      <c r="G6" s="35" t="s">
        <v>263</v>
      </c>
      <c r="H6" s="174">
        <v>94503078</v>
      </c>
      <c r="I6" s="35">
        <v>1164587212</v>
      </c>
      <c r="J6" s="177" t="s">
        <v>13</v>
      </c>
      <c r="K6" s="185"/>
      <c r="L6" s="180"/>
      <c r="M6" s="186"/>
      <c r="S6" s="87" t="s">
        <v>19</v>
      </c>
      <c r="T6" s="10">
        <v>74</v>
      </c>
    </row>
    <row r="7" spans="2:20" s="6" customFormat="1" ht="16.05" customHeight="1" thickBot="1">
      <c r="B7" s="19">
        <v>5</v>
      </c>
      <c r="C7" s="23" t="s">
        <v>264</v>
      </c>
      <c r="D7" s="90">
        <v>9.19</v>
      </c>
      <c r="E7" s="98">
        <v>0</v>
      </c>
      <c r="F7" s="36">
        <v>27</v>
      </c>
      <c r="G7" s="36" t="s">
        <v>264</v>
      </c>
      <c r="H7" s="175">
        <v>48570105</v>
      </c>
      <c r="I7" s="36" t="s">
        <v>265</v>
      </c>
      <c r="J7" s="178" t="s">
        <v>13</v>
      </c>
      <c r="K7" s="187"/>
      <c r="L7" s="179"/>
      <c r="M7" s="186"/>
    </row>
    <row r="8" spans="2:20" s="6" customFormat="1" ht="16.05" customHeight="1">
      <c r="B8" s="20">
        <v>6</v>
      </c>
      <c r="C8" s="21" t="s">
        <v>266</v>
      </c>
      <c r="D8" s="88">
        <v>9.11</v>
      </c>
      <c r="E8" s="96">
        <v>0</v>
      </c>
      <c r="F8" s="34">
        <v>54</v>
      </c>
      <c r="G8" s="34" t="s">
        <v>266</v>
      </c>
      <c r="H8" s="173">
        <v>48244634</v>
      </c>
      <c r="I8" s="34" t="s">
        <v>267</v>
      </c>
      <c r="J8" s="176" t="s">
        <v>38</v>
      </c>
      <c r="K8" s="187"/>
      <c r="L8" s="179"/>
      <c r="M8" s="186"/>
    </row>
    <row r="9" spans="2:20" s="6" customFormat="1" ht="16.05" customHeight="1">
      <c r="B9" s="18">
        <v>7</v>
      </c>
      <c r="C9" s="22" t="s">
        <v>268</v>
      </c>
      <c r="D9" s="89">
        <v>9.0299999999999994</v>
      </c>
      <c r="E9" s="97">
        <v>0</v>
      </c>
      <c r="F9" s="35">
        <v>43</v>
      </c>
      <c r="G9" s="35" t="s">
        <v>268</v>
      </c>
      <c r="H9" s="174">
        <v>48287773</v>
      </c>
      <c r="I9" s="35">
        <v>1156189580</v>
      </c>
      <c r="J9" s="177" t="s">
        <v>38</v>
      </c>
      <c r="K9" s="187"/>
      <c r="L9" s="181" t="s">
        <v>269</v>
      </c>
      <c r="M9" s="186"/>
    </row>
    <row r="10" spans="2:20" s="6" customFormat="1" ht="16.05" customHeight="1">
      <c r="B10" s="18">
        <v>8</v>
      </c>
      <c r="C10" s="22" t="s">
        <v>270</v>
      </c>
      <c r="D10" s="89">
        <v>9.0299999999999994</v>
      </c>
      <c r="E10" s="97">
        <v>0</v>
      </c>
      <c r="F10" s="35">
        <v>50</v>
      </c>
      <c r="G10" s="35" t="s">
        <v>270</v>
      </c>
      <c r="H10" s="174">
        <v>48378145</v>
      </c>
      <c r="I10" s="35">
        <v>1131060012</v>
      </c>
      <c r="J10" s="177" t="s">
        <v>38</v>
      </c>
      <c r="K10" s="187"/>
      <c r="L10" s="179"/>
      <c r="M10" s="186"/>
    </row>
    <row r="11" spans="2:20" s="6" customFormat="1" ht="16.05" customHeight="1">
      <c r="B11" s="18">
        <v>9</v>
      </c>
      <c r="C11" s="22" t="s">
        <v>271</v>
      </c>
      <c r="D11" s="89">
        <v>8.84</v>
      </c>
      <c r="E11" s="97">
        <v>0</v>
      </c>
      <c r="F11" s="35">
        <v>70</v>
      </c>
      <c r="G11" s="35" t="s">
        <v>271</v>
      </c>
      <c r="H11" s="174">
        <v>48243718</v>
      </c>
      <c r="I11" s="35">
        <v>1141948985</v>
      </c>
      <c r="J11" s="177" t="s">
        <v>13</v>
      </c>
      <c r="K11" s="187"/>
      <c r="L11" s="179"/>
      <c r="M11" s="186"/>
    </row>
    <row r="12" spans="2:20" s="6" customFormat="1" ht="16.05" customHeight="1" thickBot="1">
      <c r="B12" s="19">
        <v>10</v>
      </c>
      <c r="C12" s="23" t="s">
        <v>272</v>
      </c>
      <c r="D12" s="90">
        <v>8.73</v>
      </c>
      <c r="E12" s="98">
        <v>0</v>
      </c>
      <c r="F12" s="36">
        <v>68</v>
      </c>
      <c r="G12" s="36" t="s">
        <v>272</v>
      </c>
      <c r="H12" s="175">
        <v>48763542</v>
      </c>
      <c r="I12" s="36" t="s">
        <v>273</v>
      </c>
      <c r="J12" s="178" t="s">
        <v>38</v>
      </c>
      <c r="K12" s="187"/>
      <c r="L12" s="181" t="s">
        <v>274</v>
      </c>
      <c r="M12" s="186"/>
    </row>
    <row r="13" spans="2:20" s="6" customFormat="1" ht="16.05" customHeight="1">
      <c r="B13" s="20">
        <v>11</v>
      </c>
      <c r="C13" s="21" t="s">
        <v>275</v>
      </c>
      <c r="D13" s="88">
        <v>8.69</v>
      </c>
      <c r="E13" s="96">
        <v>0</v>
      </c>
      <c r="F13" s="34">
        <v>47</v>
      </c>
      <c r="G13" s="34" t="s">
        <v>275</v>
      </c>
      <c r="H13" s="173">
        <v>48214623</v>
      </c>
      <c r="I13" s="34">
        <v>1136693126</v>
      </c>
      <c r="J13" s="176" t="s">
        <v>13</v>
      </c>
      <c r="K13" s="187"/>
      <c r="L13" s="179"/>
      <c r="M13" s="186"/>
    </row>
    <row r="14" spans="2:20" s="6" customFormat="1" ht="16.05" customHeight="1">
      <c r="B14" s="18">
        <v>12</v>
      </c>
      <c r="C14" s="22" t="s">
        <v>276</v>
      </c>
      <c r="D14" s="89">
        <v>8.65</v>
      </c>
      <c r="E14" s="97">
        <v>0</v>
      </c>
      <c r="F14" s="35">
        <v>69</v>
      </c>
      <c r="G14" s="35" t="s">
        <v>276</v>
      </c>
      <c r="H14" s="174">
        <v>48244476</v>
      </c>
      <c r="I14" s="35">
        <v>1161552757</v>
      </c>
      <c r="J14" s="177" t="s">
        <v>38</v>
      </c>
      <c r="K14" s="187"/>
      <c r="L14" s="179"/>
      <c r="M14" s="186"/>
    </row>
    <row r="15" spans="2:20" s="6" customFormat="1" ht="16.05" customHeight="1">
      <c r="B15" s="18">
        <v>13</v>
      </c>
      <c r="C15" s="22" t="s">
        <v>277</v>
      </c>
      <c r="D15" s="89">
        <v>8.61</v>
      </c>
      <c r="E15" s="97">
        <v>0</v>
      </c>
      <c r="F15" s="35">
        <v>65</v>
      </c>
      <c r="G15" s="35" t="s">
        <v>277</v>
      </c>
      <c r="H15" s="174">
        <v>47869204</v>
      </c>
      <c r="I15" s="35">
        <v>1169788115</v>
      </c>
      <c r="J15" s="177" t="s">
        <v>13</v>
      </c>
      <c r="K15" s="187"/>
      <c r="L15" s="179"/>
      <c r="M15" s="186"/>
    </row>
    <row r="16" spans="2:20" s="6" customFormat="1" ht="16.05" customHeight="1">
      <c r="B16" s="18">
        <v>14</v>
      </c>
      <c r="C16" s="22" t="s">
        <v>278</v>
      </c>
      <c r="D16" s="89">
        <v>8.57</v>
      </c>
      <c r="E16" s="97">
        <v>0</v>
      </c>
      <c r="F16" s="35">
        <v>19</v>
      </c>
      <c r="G16" s="35" t="s">
        <v>278</v>
      </c>
      <c r="H16" s="174">
        <v>48871028</v>
      </c>
      <c r="I16" s="35">
        <v>1162747261</v>
      </c>
      <c r="J16" s="177" t="s">
        <v>13</v>
      </c>
      <c r="K16" s="187"/>
      <c r="L16" s="180"/>
      <c r="M16" s="186"/>
    </row>
    <row r="17" spans="2:13" s="6" customFormat="1" ht="16.05" customHeight="1" thickBot="1">
      <c r="B17" s="19">
        <v>15</v>
      </c>
      <c r="C17" s="23" t="s">
        <v>279</v>
      </c>
      <c r="D17" s="90">
        <v>8.5399999999999991</v>
      </c>
      <c r="E17" s="98">
        <v>0</v>
      </c>
      <c r="F17" s="36">
        <v>55</v>
      </c>
      <c r="G17" s="36" t="s">
        <v>279</v>
      </c>
      <c r="H17" s="175">
        <v>48040846</v>
      </c>
      <c r="I17" s="36" t="s">
        <v>280</v>
      </c>
      <c r="J17" s="178" t="s">
        <v>38</v>
      </c>
      <c r="K17" s="187"/>
      <c r="L17" s="180"/>
      <c r="M17" s="186"/>
    </row>
    <row r="18" spans="2:13" s="6" customFormat="1" ht="16.05" customHeight="1">
      <c r="B18" s="20">
        <v>16</v>
      </c>
      <c r="C18" s="21" t="s">
        <v>281</v>
      </c>
      <c r="D18" s="88">
        <v>8.42</v>
      </c>
      <c r="E18" s="96">
        <v>0</v>
      </c>
      <c r="F18" s="34">
        <v>71</v>
      </c>
      <c r="G18" s="34" t="s">
        <v>281</v>
      </c>
      <c r="H18" s="173">
        <v>48570058</v>
      </c>
      <c r="I18" s="34" t="s">
        <v>282</v>
      </c>
      <c r="J18" s="176" t="s">
        <v>38</v>
      </c>
      <c r="K18" s="187"/>
      <c r="L18" s="180"/>
      <c r="M18" s="186"/>
    </row>
    <row r="19" spans="2:13" s="6" customFormat="1" ht="16.05" customHeight="1">
      <c r="B19" s="18">
        <v>17</v>
      </c>
      <c r="C19" s="22" t="s">
        <v>283</v>
      </c>
      <c r="D19" s="89">
        <v>8.4</v>
      </c>
      <c r="E19" s="97">
        <v>0</v>
      </c>
      <c r="F19" s="35">
        <v>72</v>
      </c>
      <c r="G19" s="35" t="s">
        <v>283</v>
      </c>
      <c r="H19" s="174">
        <v>48378203</v>
      </c>
      <c r="I19" s="35">
        <v>1161080816</v>
      </c>
      <c r="J19" s="177" t="s">
        <v>13</v>
      </c>
      <c r="K19" s="187"/>
      <c r="L19" s="180"/>
      <c r="M19" s="186"/>
    </row>
    <row r="20" spans="2:13" s="6" customFormat="1" ht="16.05" customHeight="1">
      <c r="B20" s="18">
        <v>18</v>
      </c>
      <c r="C20" s="22" t="s">
        <v>284</v>
      </c>
      <c r="D20" s="89">
        <v>8.35</v>
      </c>
      <c r="E20" s="97">
        <v>0</v>
      </c>
      <c r="F20" s="35">
        <v>36</v>
      </c>
      <c r="G20" s="35" t="s">
        <v>284</v>
      </c>
      <c r="H20" s="174">
        <v>48295440</v>
      </c>
      <c r="I20" s="35" t="s">
        <v>285</v>
      </c>
      <c r="J20" s="177" t="s">
        <v>13</v>
      </c>
      <c r="K20" s="187"/>
      <c r="L20" s="180"/>
      <c r="M20" s="186"/>
    </row>
    <row r="21" spans="2:13" s="6" customFormat="1" ht="16.05" customHeight="1">
      <c r="B21" s="18">
        <v>19</v>
      </c>
      <c r="C21" s="22" t="s">
        <v>286</v>
      </c>
      <c r="D21" s="89">
        <v>8.34</v>
      </c>
      <c r="E21" s="97">
        <v>0</v>
      </c>
      <c r="F21" s="35">
        <v>42</v>
      </c>
      <c r="G21" s="35" t="s">
        <v>286</v>
      </c>
      <c r="H21" s="174">
        <v>95648426</v>
      </c>
      <c r="I21" s="35">
        <v>1132336802</v>
      </c>
      <c r="J21" s="177" t="s">
        <v>38</v>
      </c>
      <c r="K21" s="187"/>
      <c r="L21" s="180"/>
      <c r="M21" s="186"/>
    </row>
    <row r="22" spans="2:13" s="6" customFormat="1" ht="16.05" customHeight="1" thickBot="1">
      <c r="B22" s="19">
        <v>20</v>
      </c>
      <c r="C22" s="23" t="s">
        <v>287</v>
      </c>
      <c r="D22" s="90">
        <v>8.3000000000000007</v>
      </c>
      <c r="E22" s="98">
        <v>0</v>
      </c>
      <c r="F22" s="36">
        <v>48</v>
      </c>
      <c r="G22" s="36" t="s">
        <v>287</v>
      </c>
      <c r="H22" s="175">
        <v>48295653</v>
      </c>
      <c r="I22" s="36" t="s">
        <v>288</v>
      </c>
      <c r="J22" s="178" t="s">
        <v>38</v>
      </c>
      <c r="K22" s="187"/>
      <c r="L22" s="180"/>
      <c r="M22" s="186"/>
    </row>
    <row r="23" spans="2:13" s="6" customFormat="1" ht="16.05" customHeight="1">
      <c r="B23" s="20">
        <v>21</v>
      </c>
      <c r="C23" s="21" t="s">
        <v>289</v>
      </c>
      <c r="D23" s="88">
        <v>8.23</v>
      </c>
      <c r="E23" s="96">
        <v>0</v>
      </c>
      <c r="F23" s="34">
        <v>32</v>
      </c>
      <c r="G23" s="34" t="s">
        <v>289</v>
      </c>
      <c r="H23" s="173">
        <v>48381436</v>
      </c>
      <c r="I23" s="34" t="s">
        <v>290</v>
      </c>
      <c r="J23" s="176" t="s">
        <v>13</v>
      </c>
      <c r="K23" s="187"/>
      <c r="L23" s="180"/>
      <c r="M23" s="186"/>
    </row>
    <row r="24" spans="2:13" s="6" customFormat="1" ht="16.05" customHeight="1">
      <c r="B24" s="18">
        <v>22</v>
      </c>
      <c r="C24" s="22" t="s">
        <v>291</v>
      </c>
      <c r="D24" s="89">
        <v>8.23</v>
      </c>
      <c r="E24" s="97">
        <v>0</v>
      </c>
      <c r="F24" s="35">
        <v>74</v>
      </c>
      <c r="G24" s="35" t="s">
        <v>291</v>
      </c>
      <c r="H24" s="174">
        <v>47801904</v>
      </c>
      <c r="I24" s="35">
        <v>1135626397</v>
      </c>
      <c r="J24" s="177" t="s">
        <v>38</v>
      </c>
      <c r="K24" s="187"/>
      <c r="L24" s="180"/>
      <c r="M24" s="186"/>
    </row>
    <row r="25" spans="2:13" s="6" customFormat="1" ht="16.05" customHeight="1">
      <c r="B25" s="18">
        <v>23</v>
      </c>
      <c r="C25" s="22" t="s">
        <v>292</v>
      </c>
      <c r="D25" s="89">
        <v>8.15</v>
      </c>
      <c r="E25" s="97">
        <v>0</v>
      </c>
      <c r="F25" s="35">
        <v>37</v>
      </c>
      <c r="G25" s="35" t="s">
        <v>292</v>
      </c>
      <c r="H25" s="174">
        <v>48378182</v>
      </c>
      <c r="I25" s="35">
        <v>1123891438</v>
      </c>
      <c r="J25" s="177" t="s">
        <v>13</v>
      </c>
      <c r="K25" s="187"/>
      <c r="L25" s="180"/>
      <c r="M25" s="186"/>
    </row>
    <row r="26" spans="2:13" s="6" customFormat="1" ht="16.05" customHeight="1">
      <c r="B26" s="18">
        <v>24</v>
      </c>
      <c r="C26" s="22" t="s">
        <v>293</v>
      </c>
      <c r="D26" s="89">
        <v>8.0399999999999991</v>
      </c>
      <c r="E26" s="97">
        <v>0</v>
      </c>
      <c r="F26" s="35">
        <v>6</v>
      </c>
      <c r="G26" s="35" t="s">
        <v>293</v>
      </c>
      <c r="H26" s="174">
        <v>48378172</v>
      </c>
      <c r="I26" s="35" t="s">
        <v>294</v>
      </c>
      <c r="J26" s="177" t="s">
        <v>38</v>
      </c>
      <c r="K26" s="187"/>
      <c r="L26" s="180"/>
      <c r="M26" s="186"/>
    </row>
    <row r="27" spans="2:13" s="6" customFormat="1" ht="16.05" customHeight="1" thickBot="1">
      <c r="B27" s="19">
        <v>25</v>
      </c>
      <c r="C27" s="23" t="s">
        <v>295</v>
      </c>
      <c r="D27" s="90">
        <v>8.0299999999999994</v>
      </c>
      <c r="E27" s="98">
        <v>0</v>
      </c>
      <c r="F27" s="36">
        <v>22</v>
      </c>
      <c r="G27" s="36" t="s">
        <v>295</v>
      </c>
      <c r="H27" s="175">
        <v>48637749</v>
      </c>
      <c r="I27" s="36" t="s">
        <v>296</v>
      </c>
      <c r="J27" s="178" t="s">
        <v>38</v>
      </c>
      <c r="K27" s="185"/>
      <c r="L27" s="180"/>
      <c r="M27" s="186"/>
    </row>
    <row r="28" spans="2:13" s="6" customFormat="1" ht="16.05" customHeight="1">
      <c r="B28" s="20">
        <v>26</v>
      </c>
      <c r="C28" s="21" t="s">
        <v>297</v>
      </c>
      <c r="D28" s="88">
        <v>8</v>
      </c>
      <c r="E28" s="96">
        <v>0</v>
      </c>
      <c r="F28" s="34">
        <v>9</v>
      </c>
      <c r="G28" s="34" t="s">
        <v>297</v>
      </c>
      <c r="H28" s="173">
        <v>47204313</v>
      </c>
      <c r="I28" s="34">
        <v>1164202854</v>
      </c>
      <c r="J28" s="176" t="s">
        <v>38</v>
      </c>
      <c r="K28" s="185"/>
      <c r="L28" s="180"/>
      <c r="M28" s="186"/>
    </row>
    <row r="29" spans="2:13" s="6" customFormat="1" ht="16.05" customHeight="1">
      <c r="B29" s="18">
        <v>27</v>
      </c>
      <c r="C29" s="22" t="s">
        <v>298</v>
      </c>
      <c r="D29" s="89">
        <v>8</v>
      </c>
      <c r="E29" s="97">
        <v>0</v>
      </c>
      <c r="F29" s="35">
        <v>64</v>
      </c>
      <c r="G29" s="35" t="s">
        <v>298</v>
      </c>
      <c r="H29" s="174">
        <v>48113860</v>
      </c>
      <c r="I29" s="35">
        <v>1159131788</v>
      </c>
      <c r="J29" s="177" t="s">
        <v>38</v>
      </c>
      <c r="K29" s="185"/>
      <c r="L29" s="180"/>
      <c r="M29" s="186"/>
    </row>
    <row r="30" spans="2:13" s="6" customFormat="1" ht="16.05" customHeight="1">
      <c r="B30" s="18">
        <v>28</v>
      </c>
      <c r="C30" s="22" t="s">
        <v>299</v>
      </c>
      <c r="D30" s="89">
        <v>7.96</v>
      </c>
      <c r="E30" s="97">
        <v>0</v>
      </c>
      <c r="F30" s="35">
        <v>15</v>
      </c>
      <c r="G30" s="35" t="s">
        <v>299</v>
      </c>
      <c r="H30" s="174">
        <v>94604562</v>
      </c>
      <c r="I30" s="35">
        <v>1166181990</v>
      </c>
      <c r="J30" s="177" t="s">
        <v>38</v>
      </c>
      <c r="K30" s="185"/>
      <c r="L30" s="180"/>
      <c r="M30" s="186"/>
    </row>
    <row r="31" spans="2:13" s="6" customFormat="1" ht="16.05" customHeight="1">
      <c r="B31" s="18">
        <v>29</v>
      </c>
      <c r="C31" s="22" t="s">
        <v>300</v>
      </c>
      <c r="D31" s="89">
        <v>7.92</v>
      </c>
      <c r="E31" s="97">
        <v>0</v>
      </c>
      <c r="F31" s="35">
        <v>29</v>
      </c>
      <c r="G31" s="35" t="s">
        <v>300</v>
      </c>
      <c r="H31" s="174">
        <v>48569147</v>
      </c>
      <c r="I31" s="35" t="s">
        <v>301</v>
      </c>
      <c r="J31" s="177" t="s">
        <v>38</v>
      </c>
      <c r="K31" s="185"/>
      <c r="L31" s="180"/>
      <c r="M31" s="186"/>
    </row>
    <row r="32" spans="2:13" s="6" customFormat="1" ht="16.05" customHeight="1" thickBot="1">
      <c r="B32" s="19">
        <v>30</v>
      </c>
      <c r="C32" s="23" t="s">
        <v>302</v>
      </c>
      <c r="D32" s="90">
        <v>7.77</v>
      </c>
      <c r="E32" s="98">
        <v>0</v>
      </c>
      <c r="F32" s="36">
        <v>2</v>
      </c>
      <c r="G32" s="36" t="s">
        <v>302</v>
      </c>
      <c r="H32" s="175">
        <v>48291526</v>
      </c>
      <c r="I32" s="36">
        <v>1156023379</v>
      </c>
      <c r="J32" s="178" t="s">
        <v>38</v>
      </c>
      <c r="K32" s="185"/>
      <c r="L32" s="180"/>
      <c r="M32" s="186"/>
    </row>
    <row r="33" spans="2:13" s="6" customFormat="1" ht="16.05" customHeight="1">
      <c r="B33" s="20">
        <v>31</v>
      </c>
      <c r="C33" s="21" t="s">
        <v>303</v>
      </c>
      <c r="D33" s="88">
        <v>7.77</v>
      </c>
      <c r="E33" s="96">
        <v>0</v>
      </c>
      <c r="F33" s="34">
        <v>7</v>
      </c>
      <c r="G33" s="34" t="s">
        <v>303</v>
      </c>
      <c r="H33" s="173">
        <v>48378171</v>
      </c>
      <c r="I33" s="34" t="s">
        <v>294</v>
      </c>
      <c r="J33" s="176" t="s">
        <v>38</v>
      </c>
      <c r="K33" s="185"/>
      <c r="L33" s="180"/>
      <c r="M33" s="186"/>
    </row>
    <row r="34" spans="2:13" s="6" customFormat="1" ht="16.05" customHeight="1">
      <c r="B34" s="18">
        <v>32</v>
      </c>
      <c r="C34" s="22" t="s">
        <v>304</v>
      </c>
      <c r="D34" s="89">
        <v>7.69</v>
      </c>
      <c r="E34" s="97">
        <v>0</v>
      </c>
      <c r="F34" s="35">
        <v>51</v>
      </c>
      <c r="G34" s="35" t="s">
        <v>304</v>
      </c>
      <c r="H34" s="174">
        <v>48675433</v>
      </c>
      <c r="I34" s="35" t="s">
        <v>305</v>
      </c>
      <c r="J34" s="177" t="s">
        <v>13</v>
      </c>
      <c r="K34" s="185"/>
      <c r="L34" s="180"/>
      <c r="M34" s="186"/>
    </row>
    <row r="35" spans="2:13" s="6" customFormat="1" ht="16.05" customHeight="1">
      <c r="B35" s="18">
        <v>33</v>
      </c>
      <c r="C35" s="22" t="s">
        <v>306</v>
      </c>
      <c r="D35" s="89">
        <v>7.69</v>
      </c>
      <c r="E35" s="97">
        <v>0</v>
      </c>
      <c r="F35" s="35">
        <v>66</v>
      </c>
      <c r="G35" s="35" t="s">
        <v>306</v>
      </c>
      <c r="H35" s="174">
        <v>48378206</v>
      </c>
      <c r="I35" s="35" t="s">
        <v>307</v>
      </c>
      <c r="J35" s="177" t="s">
        <v>13</v>
      </c>
      <c r="K35" s="185"/>
      <c r="L35" s="180"/>
      <c r="M35" s="186"/>
    </row>
    <row r="36" spans="2:13" s="6" customFormat="1" ht="16.05" customHeight="1">
      <c r="B36" s="18">
        <v>34</v>
      </c>
      <c r="C36" s="22" t="s">
        <v>308</v>
      </c>
      <c r="D36" s="89">
        <v>7.61</v>
      </c>
      <c r="E36" s="97">
        <v>0</v>
      </c>
      <c r="F36" s="35">
        <v>10</v>
      </c>
      <c r="G36" s="35" t="s">
        <v>308</v>
      </c>
      <c r="H36" s="174">
        <v>48504283</v>
      </c>
      <c r="I36" s="35">
        <v>1159368602</v>
      </c>
      <c r="J36" s="177" t="s">
        <v>309</v>
      </c>
      <c r="K36" s="185"/>
      <c r="L36" s="180"/>
      <c r="M36" s="186"/>
    </row>
    <row r="37" spans="2:13" s="6" customFormat="1" ht="16.05" customHeight="1" thickBot="1">
      <c r="B37" s="19">
        <v>35</v>
      </c>
      <c r="C37" s="23" t="s">
        <v>310</v>
      </c>
      <c r="D37" s="90">
        <v>7.3</v>
      </c>
      <c r="E37" s="98">
        <v>0</v>
      </c>
      <c r="F37" s="36">
        <v>17</v>
      </c>
      <c r="G37" s="36" t="s">
        <v>310</v>
      </c>
      <c r="H37" s="175">
        <v>48031069</v>
      </c>
      <c r="I37" s="36" t="s">
        <v>311</v>
      </c>
      <c r="J37" s="178" t="s">
        <v>13</v>
      </c>
      <c r="K37" s="185"/>
      <c r="L37" s="180"/>
      <c r="M37" s="186"/>
    </row>
    <row r="38" spans="2:13" s="6" customFormat="1" ht="16.05" customHeight="1">
      <c r="B38" s="20">
        <v>36</v>
      </c>
      <c r="C38" s="21" t="s">
        <v>312</v>
      </c>
      <c r="D38" s="88">
        <v>7.3</v>
      </c>
      <c r="E38" s="96">
        <v>0</v>
      </c>
      <c r="F38" s="34">
        <v>26</v>
      </c>
      <c r="G38" s="34" t="s">
        <v>312</v>
      </c>
      <c r="H38" s="173">
        <v>48316031</v>
      </c>
      <c r="I38" s="34">
        <v>1157216439</v>
      </c>
      <c r="J38" s="176" t="s">
        <v>38</v>
      </c>
      <c r="K38" s="185"/>
      <c r="L38" s="180"/>
      <c r="M38" s="186"/>
    </row>
    <row r="39" spans="2:13" s="6" customFormat="1" ht="16.05" customHeight="1">
      <c r="B39" s="18">
        <v>37</v>
      </c>
      <c r="C39" s="22" t="s">
        <v>313</v>
      </c>
      <c r="D39" s="89">
        <v>7.11</v>
      </c>
      <c r="E39" s="97">
        <v>0</v>
      </c>
      <c r="F39" s="35">
        <v>41</v>
      </c>
      <c r="G39" s="35" t="s">
        <v>313</v>
      </c>
      <c r="H39" s="174">
        <v>48916919</v>
      </c>
      <c r="I39" s="35">
        <v>1155892206</v>
      </c>
      <c r="J39" s="177" t="s">
        <v>13</v>
      </c>
      <c r="K39" s="185"/>
      <c r="L39" s="180"/>
      <c r="M39" s="186"/>
    </row>
    <row r="40" spans="2:13" s="6" customFormat="1" ht="16.05" customHeight="1">
      <c r="B40" s="18">
        <v>38</v>
      </c>
      <c r="C40" s="22" t="s">
        <v>314</v>
      </c>
      <c r="D40" s="91">
        <v>6.73</v>
      </c>
      <c r="E40" s="97">
        <v>0</v>
      </c>
      <c r="F40" s="35">
        <v>16</v>
      </c>
      <c r="G40" s="35" t="s">
        <v>314</v>
      </c>
      <c r="H40" s="174">
        <v>48493382</v>
      </c>
      <c r="I40" s="35">
        <v>1132154690</v>
      </c>
      <c r="J40" s="177" t="s">
        <v>13</v>
      </c>
      <c r="K40" s="185"/>
      <c r="L40" s="180"/>
      <c r="M40" s="186"/>
    </row>
    <row r="41" spans="2:13" s="6" customFormat="1" ht="16.05" customHeight="1">
      <c r="B41" s="18">
        <v>39</v>
      </c>
      <c r="C41" s="22" t="s">
        <v>315</v>
      </c>
      <c r="D41" s="91">
        <v>5.67</v>
      </c>
      <c r="E41" s="97">
        <v>0</v>
      </c>
      <c r="F41" s="35">
        <v>35</v>
      </c>
      <c r="G41" s="35" t="s">
        <v>315</v>
      </c>
      <c r="H41" s="174">
        <v>47700610</v>
      </c>
      <c r="I41" s="35">
        <v>1171198413</v>
      </c>
      <c r="J41" s="177" t="s">
        <v>38</v>
      </c>
      <c r="K41" s="185"/>
      <c r="L41" s="180"/>
      <c r="M41" s="186"/>
    </row>
    <row r="42" spans="2:13" s="6" customFormat="1" ht="16.05" customHeight="1" thickBot="1">
      <c r="B42" s="19">
        <v>40</v>
      </c>
      <c r="C42" s="23" t="s">
        <v>316</v>
      </c>
      <c r="D42" s="90">
        <v>7.86</v>
      </c>
      <c r="E42" s="98">
        <v>1</v>
      </c>
      <c r="F42" s="36">
        <v>13</v>
      </c>
      <c r="G42" s="36" t="s">
        <v>316</v>
      </c>
      <c r="H42" s="175">
        <v>48637905</v>
      </c>
      <c r="I42" s="36">
        <v>1127950804</v>
      </c>
      <c r="J42" s="178" t="s">
        <v>13</v>
      </c>
      <c r="K42" s="185"/>
      <c r="L42" s="180"/>
      <c r="M42" s="186"/>
    </row>
    <row r="43" spans="2:13" s="6" customFormat="1" ht="16.05" customHeight="1">
      <c r="B43" s="20">
        <v>41</v>
      </c>
      <c r="C43" s="21" t="s">
        <v>317</v>
      </c>
      <c r="D43" s="88">
        <v>7.8</v>
      </c>
      <c r="E43" s="96">
        <v>1</v>
      </c>
      <c r="F43" s="34">
        <v>20</v>
      </c>
      <c r="G43" s="34" t="s">
        <v>317</v>
      </c>
      <c r="H43" s="173">
        <v>48383487</v>
      </c>
      <c r="I43" s="34">
        <v>1169578920</v>
      </c>
      <c r="J43" s="176" t="s">
        <v>38</v>
      </c>
      <c r="K43" s="185"/>
      <c r="L43" s="180"/>
      <c r="M43" s="186"/>
    </row>
    <row r="44" spans="2:13" s="6" customFormat="1" ht="16.05" customHeight="1">
      <c r="B44" s="18">
        <v>42</v>
      </c>
      <c r="C44" s="22" t="s">
        <v>318</v>
      </c>
      <c r="D44" s="89">
        <v>7.34</v>
      </c>
      <c r="E44" s="97">
        <v>1</v>
      </c>
      <c r="F44" s="35">
        <v>4</v>
      </c>
      <c r="G44" s="35" t="s">
        <v>318</v>
      </c>
      <c r="H44" s="174">
        <v>48569160</v>
      </c>
      <c r="I44" s="35" t="s">
        <v>319</v>
      </c>
      <c r="J44" s="177" t="s">
        <v>38</v>
      </c>
      <c r="K44" s="185"/>
      <c r="L44" s="180"/>
      <c r="M44" s="186"/>
    </row>
    <row r="45" spans="2:13" s="6" customFormat="1" ht="16.05" customHeight="1">
      <c r="B45" s="18">
        <v>43</v>
      </c>
      <c r="C45" s="22" t="s">
        <v>320</v>
      </c>
      <c r="D45" s="89">
        <v>7.19</v>
      </c>
      <c r="E45" s="97">
        <v>1</v>
      </c>
      <c r="F45" s="35">
        <v>39</v>
      </c>
      <c r="G45" s="35" t="s">
        <v>320</v>
      </c>
      <c r="H45" s="174">
        <v>48662775</v>
      </c>
      <c r="I45" s="35">
        <v>1154734970</v>
      </c>
      <c r="J45" s="177" t="s">
        <v>13</v>
      </c>
      <c r="K45" s="185"/>
      <c r="L45" s="180"/>
      <c r="M45" s="186"/>
    </row>
    <row r="46" spans="2:13" s="6" customFormat="1" ht="16.05" customHeight="1">
      <c r="B46" s="18">
        <v>44</v>
      </c>
      <c r="C46" s="22" t="s">
        <v>321</v>
      </c>
      <c r="D46" s="89">
        <v>7.19</v>
      </c>
      <c r="E46" s="97">
        <v>1</v>
      </c>
      <c r="F46" s="35">
        <v>58</v>
      </c>
      <c r="G46" s="35" t="s">
        <v>321</v>
      </c>
      <c r="H46" s="174">
        <v>47119277</v>
      </c>
      <c r="I46" s="35" t="s">
        <v>311</v>
      </c>
      <c r="J46" s="177" t="s">
        <v>13</v>
      </c>
      <c r="K46" s="185"/>
      <c r="L46" s="180"/>
      <c r="M46" s="186"/>
    </row>
    <row r="47" spans="2:13" s="6" customFormat="1" ht="16.05" customHeight="1" thickBot="1">
      <c r="B47" s="19">
        <v>45</v>
      </c>
      <c r="C47" s="23" t="s">
        <v>322</v>
      </c>
      <c r="D47" s="90">
        <v>7</v>
      </c>
      <c r="E47" s="98">
        <v>1</v>
      </c>
      <c r="F47" s="36">
        <v>24</v>
      </c>
      <c r="G47" s="36" t="s">
        <v>322</v>
      </c>
      <c r="H47" s="175">
        <v>48637505</v>
      </c>
      <c r="I47" s="36" t="s">
        <v>323</v>
      </c>
      <c r="J47" s="178" t="s">
        <v>38</v>
      </c>
      <c r="K47" s="185"/>
      <c r="L47" s="180"/>
      <c r="M47" s="186"/>
    </row>
    <row r="48" spans="2:13" s="6" customFormat="1" ht="16.05" customHeight="1">
      <c r="B48" s="20">
        <v>46</v>
      </c>
      <c r="C48" s="21" t="s">
        <v>324</v>
      </c>
      <c r="D48" s="92">
        <v>6.53</v>
      </c>
      <c r="E48" s="96">
        <v>1</v>
      </c>
      <c r="F48" s="34">
        <v>52</v>
      </c>
      <c r="G48" s="34" t="s">
        <v>324</v>
      </c>
      <c r="H48" s="173">
        <v>48445595</v>
      </c>
      <c r="I48" s="34">
        <v>1121817065</v>
      </c>
      <c r="J48" s="176" t="s">
        <v>38</v>
      </c>
      <c r="K48" s="185"/>
      <c r="L48" s="180"/>
      <c r="M48" s="186"/>
    </row>
    <row r="49" spans="2:13" s="6" customFormat="1" ht="16.05" customHeight="1">
      <c r="B49" s="18">
        <v>47</v>
      </c>
      <c r="C49" s="22" t="s">
        <v>325</v>
      </c>
      <c r="D49" s="91">
        <v>6.46</v>
      </c>
      <c r="E49" s="97">
        <v>1</v>
      </c>
      <c r="F49" s="35">
        <v>18</v>
      </c>
      <c r="G49" s="35" t="s">
        <v>325</v>
      </c>
      <c r="H49" s="174">
        <v>48637919</v>
      </c>
      <c r="I49" s="35">
        <v>1130777432</v>
      </c>
      <c r="J49" s="177" t="s">
        <v>13</v>
      </c>
      <c r="K49" s="185"/>
      <c r="L49" s="180"/>
      <c r="M49" s="186"/>
    </row>
    <row r="50" spans="2:13" s="6" customFormat="1" ht="16.05" customHeight="1">
      <c r="B50" s="18">
        <v>48</v>
      </c>
      <c r="C50" s="22" t="s">
        <v>326</v>
      </c>
      <c r="D50" s="91">
        <v>5.88</v>
      </c>
      <c r="E50" s="97">
        <v>1</v>
      </c>
      <c r="F50" s="35">
        <v>56</v>
      </c>
      <c r="G50" s="35" t="s">
        <v>326</v>
      </c>
      <c r="H50" s="174">
        <v>48762539</v>
      </c>
      <c r="I50" s="35" t="s">
        <v>327</v>
      </c>
      <c r="J50" s="177" t="s">
        <v>38</v>
      </c>
      <c r="K50" s="185"/>
      <c r="L50" s="180"/>
      <c r="M50" s="186"/>
    </row>
    <row r="51" spans="2:13" s="6" customFormat="1" ht="16.05" customHeight="1">
      <c r="B51" s="18">
        <v>49</v>
      </c>
      <c r="C51" s="22" t="s">
        <v>328</v>
      </c>
      <c r="D51" s="91">
        <v>6.81</v>
      </c>
      <c r="E51" s="97">
        <v>2</v>
      </c>
      <c r="F51" s="35">
        <v>25</v>
      </c>
      <c r="G51" s="35" t="s">
        <v>328</v>
      </c>
      <c r="H51" s="174">
        <v>48356895</v>
      </c>
      <c r="I51" s="35" t="s">
        <v>329</v>
      </c>
      <c r="J51" s="177" t="s">
        <v>38</v>
      </c>
      <c r="K51" s="185"/>
      <c r="L51" s="180"/>
      <c r="M51" s="186"/>
    </row>
    <row r="52" spans="2:13" s="6" customFormat="1" ht="16.05" customHeight="1" thickBot="1">
      <c r="B52" s="19">
        <v>50</v>
      </c>
      <c r="C52" s="23" t="s">
        <v>330</v>
      </c>
      <c r="D52" s="93">
        <v>6.65</v>
      </c>
      <c r="E52" s="98">
        <v>2</v>
      </c>
      <c r="F52" s="36">
        <v>1</v>
      </c>
      <c r="G52" s="36" t="s">
        <v>330</v>
      </c>
      <c r="H52" s="175">
        <v>48569157</v>
      </c>
      <c r="I52" s="36" t="s">
        <v>331</v>
      </c>
      <c r="J52" s="178" t="s">
        <v>38</v>
      </c>
      <c r="K52" s="185"/>
      <c r="L52" s="180"/>
      <c r="M52" s="186"/>
    </row>
    <row r="53" spans="2:13" s="6" customFormat="1" ht="16.05" customHeight="1">
      <c r="B53" s="20">
        <v>51</v>
      </c>
      <c r="C53" s="21" t="s">
        <v>332</v>
      </c>
      <c r="D53" s="92">
        <v>6.65</v>
      </c>
      <c r="E53" s="96">
        <v>2</v>
      </c>
      <c r="F53" s="34">
        <v>11</v>
      </c>
      <c r="G53" s="34" t="s">
        <v>332</v>
      </c>
      <c r="H53" s="173">
        <v>47946143</v>
      </c>
      <c r="I53" s="34" t="s">
        <v>333</v>
      </c>
      <c r="J53" s="176" t="s">
        <v>38</v>
      </c>
      <c r="K53" s="185"/>
      <c r="L53" s="180"/>
      <c r="M53" s="186"/>
    </row>
    <row r="54" spans="2:13" s="6" customFormat="1" ht="16.05" customHeight="1">
      <c r="B54" s="18">
        <v>52</v>
      </c>
      <c r="C54" s="22" t="s">
        <v>334</v>
      </c>
      <c r="D54" s="91">
        <v>6.42</v>
      </c>
      <c r="E54" s="97">
        <v>2</v>
      </c>
      <c r="F54" s="35">
        <v>46</v>
      </c>
      <c r="G54" s="35" t="s">
        <v>334</v>
      </c>
      <c r="H54" s="174">
        <v>48286654</v>
      </c>
      <c r="I54" s="35" t="s">
        <v>335</v>
      </c>
      <c r="J54" s="177" t="s">
        <v>38</v>
      </c>
      <c r="K54" s="185"/>
      <c r="L54" s="180"/>
      <c r="M54" s="186"/>
    </row>
    <row r="55" spans="2:13" s="6" customFormat="1" ht="16.05" customHeight="1">
      <c r="B55" s="18">
        <v>53</v>
      </c>
      <c r="C55" s="22" t="s">
        <v>336</v>
      </c>
      <c r="D55" s="91">
        <v>6.31</v>
      </c>
      <c r="E55" s="97">
        <v>2</v>
      </c>
      <c r="F55" s="35">
        <v>30</v>
      </c>
      <c r="G55" s="35" t="s">
        <v>336</v>
      </c>
      <c r="H55" s="174">
        <v>48569169</v>
      </c>
      <c r="I55" s="35" t="s">
        <v>337</v>
      </c>
      <c r="J55" s="177" t="s">
        <v>38</v>
      </c>
      <c r="K55" s="185"/>
      <c r="L55" s="180"/>
      <c r="M55" s="186"/>
    </row>
    <row r="56" spans="2:13" s="6" customFormat="1" ht="16.05" customHeight="1">
      <c r="B56" s="18">
        <v>54</v>
      </c>
      <c r="C56" s="22" t="s">
        <v>338</v>
      </c>
      <c r="D56" s="91">
        <v>6.15</v>
      </c>
      <c r="E56" s="97">
        <v>2</v>
      </c>
      <c r="F56" s="35">
        <v>62</v>
      </c>
      <c r="G56" s="35" t="s">
        <v>338</v>
      </c>
      <c r="H56" s="174">
        <v>48637527</v>
      </c>
      <c r="I56" s="35" t="s">
        <v>339</v>
      </c>
      <c r="J56" s="177" t="s">
        <v>38</v>
      </c>
      <c r="K56" s="185"/>
      <c r="L56" s="180"/>
      <c r="M56" s="186"/>
    </row>
    <row r="57" spans="2:13" s="6" customFormat="1" ht="16.05" customHeight="1" thickBot="1">
      <c r="B57" s="19">
        <v>55</v>
      </c>
      <c r="C57" s="23" t="s">
        <v>340</v>
      </c>
      <c r="D57" s="93">
        <v>6.07</v>
      </c>
      <c r="E57" s="98">
        <v>2</v>
      </c>
      <c r="F57" s="36">
        <v>60</v>
      </c>
      <c r="G57" s="36" t="s">
        <v>340</v>
      </c>
      <c r="H57" s="175">
        <v>48287855</v>
      </c>
      <c r="I57" s="36" t="s">
        <v>341</v>
      </c>
      <c r="J57" s="178" t="s">
        <v>13</v>
      </c>
      <c r="K57" s="185"/>
      <c r="L57" s="180"/>
      <c r="M57" s="186"/>
    </row>
    <row r="58" spans="2:13" s="6" customFormat="1" ht="16.05" customHeight="1">
      <c r="B58" s="20">
        <v>56</v>
      </c>
      <c r="C58" s="21" t="s">
        <v>342</v>
      </c>
      <c r="D58" s="92">
        <v>6</v>
      </c>
      <c r="E58" s="96">
        <v>2</v>
      </c>
      <c r="F58" s="34">
        <v>21</v>
      </c>
      <c r="G58" s="34" t="s">
        <v>342</v>
      </c>
      <c r="H58" s="173">
        <v>48383486</v>
      </c>
      <c r="I58" s="34">
        <v>1169578920</v>
      </c>
      <c r="J58" s="176" t="s">
        <v>38</v>
      </c>
      <c r="K58" s="185"/>
      <c r="L58" s="180"/>
      <c r="M58" s="186"/>
    </row>
    <row r="59" spans="2:13" s="6" customFormat="1" ht="16.05" customHeight="1">
      <c r="B59" s="18">
        <v>57</v>
      </c>
      <c r="C59" s="22" t="s">
        <v>343</v>
      </c>
      <c r="D59" s="91">
        <v>5.92</v>
      </c>
      <c r="E59" s="97">
        <v>2</v>
      </c>
      <c r="F59" s="35">
        <v>61</v>
      </c>
      <c r="G59" s="35" t="s">
        <v>343</v>
      </c>
      <c r="H59" s="174">
        <v>48763459</v>
      </c>
      <c r="I59" s="35">
        <v>1169583484</v>
      </c>
      <c r="J59" s="177" t="s">
        <v>38</v>
      </c>
      <c r="K59" s="185"/>
      <c r="L59" s="180"/>
      <c r="M59" s="186"/>
    </row>
    <row r="60" spans="2:13" s="6" customFormat="1" ht="16.05" customHeight="1">
      <c r="B60" s="18">
        <v>58</v>
      </c>
      <c r="C60" s="22" t="s">
        <v>344</v>
      </c>
      <c r="D60" s="91">
        <v>6.73</v>
      </c>
      <c r="E60" s="97">
        <v>3</v>
      </c>
      <c r="F60" s="35">
        <v>23</v>
      </c>
      <c r="G60" s="35" t="s">
        <v>344</v>
      </c>
      <c r="H60" s="174">
        <v>48378236</v>
      </c>
      <c r="I60" s="35">
        <v>1151032870</v>
      </c>
      <c r="J60" s="177" t="s">
        <v>38</v>
      </c>
      <c r="K60" s="185"/>
      <c r="L60" s="180"/>
      <c r="M60" s="186"/>
    </row>
    <row r="61" spans="2:13" s="6" customFormat="1" ht="16.05" customHeight="1">
      <c r="B61" s="18">
        <v>59</v>
      </c>
      <c r="C61" s="22" t="s">
        <v>345</v>
      </c>
      <c r="D61" s="91">
        <v>5.75</v>
      </c>
      <c r="E61" s="97">
        <v>3</v>
      </c>
      <c r="F61" s="35">
        <v>40</v>
      </c>
      <c r="G61" s="35" t="s">
        <v>345</v>
      </c>
      <c r="H61" s="174">
        <v>47633464</v>
      </c>
      <c r="I61" s="35">
        <v>1154746740</v>
      </c>
      <c r="J61" s="177" t="s">
        <v>38</v>
      </c>
      <c r="K61" s="185"/>
      <c r="L61" s="180"/>
      <c r="M61" s="186"/>
    </row>
    <row r="62" spans="2:13" s="6" customFormat="1" ht="16.05" customHeight="1" thickBot="1">
      <c r="B62" s="19">
        <v>60</v>
      </c>
      <c r="C62" s="23" t="s">
        <v>346</v>
      </c>
      <c r="D62" s="93">
        <v>5.73</v>
      </c>
      <c r="E62" s="98">
        <v>3</v>
      </c>
      <c r="F62" s="36">
        <v>67</v>
      </c>
      <c r="G62" s="36" t="s">
        <v>346</v>
      </c>
      <c r="H62" s="175">
        <v>48236642</v>
      </c>
      <c r="I62" s="36">
        <v>1157567919</v>
      </c>
      <c r="J62" s="178" t="s">
        <v>38</v>
      </c>
      <c r="K62" s="185"/>
      <c r="L62" s="180"/>
      <c r="M62" s="186"/>
    </row>
    <row r="63" spans="2:13" s="6" customFormat="1" ht="16.05" customHeight="1">
      <c r="B63" s="20">
        <v>61</v>
      </c>
      <c r="C63" s="21" t="s">
        <v>347</v>
      </c>
      <c r="D63" s="92">
        <v>5.69</v>
      </c>
      <c r="E63" s="96">
        <v>3</v>
      </c>
      <c r="F63" s="34">
        <v>45</v>
      </c>
      <c r="G63" s="34" t="s">
        <v>347</v>
      </c>
      <c r="H63" s="173">
        <v>48637910</v>
      </c>
      <c r="I63" s="34" t="s">
        <v>348</v>
      </c>
      <c r="J63" s="176" t="s">
        <v>38</v>
      </c>
      <c r="K63" s="185"/>
      <c r="L63" s="180"/>
      <c r="M63" s="186"/>
    </row>
    <row r="64" spans="2:13" s="6" customFormat="1" ht="16.05" customHeight="1">
      <c r="B64" s="18">
        <v>62</v>
      </c>
      <c r="C64" s="22" t="s">
        <v>349</v>
      </c>
      <c r="D64" s="91">
        <v>5.58</v>
      </c>
      <c r="E64" s="97">
        <v>4</v>
      </c>
      <c r="F64" s="35">
        <v>28</v>
      </c>
      <c r="G64" s="35" t="s">
        <v>349</v>
      </c>
      <c r="H64" s="174">
        <v>48059154</v>
      </c>
      <c r="I64" s="35" t="s">
        <v>350</v>
      </c>
      <c r="J64" s="177" t="s">
        <v>38</v>
      </c>
      <c r="K64" s="185"/>
      <c r="L64" s="180"/>
      <c r="M64" s="186"/>
    </row>
    <row r="65" spans="2:13" s="6" customFormat="1" ht="16.05" customHeight="1">
      <c r="B65" s="18">
        <v>63</v>
      </c>
      <c r="C65" s="22" t="s">
        <v>351</v>
      </c>
      <c r="D65" s="91">
        <v>5.58</v>
      </c>
      <c r="E65" s="97">
        <v>4</v>
      </c>
      <c r="F65" s="35">
        <v>53</v>
      </c>
      <c r="G65" s="35" t="s">
        <v>351</v>
      </c>
      <c r="H65" s="174">
        <v>48287792</v>
      </c>
      <c r="I65" s="35" t="s">
        <v>352</v>
      </c>
      <c r="J65" s="177" t="s">
        <v>13</v>
      </c>
      <c r="K65" s="185"/>
      <c r="L65" s="180"/>
      <c r="M65" s="186"/>
    </row>
    <row r="66" spans="2:13" s="6" customFormat="1" ht="16.05" customHeight="1">
      <c r="B66" s="18">
        <v>64</v>
      </c>
      <c r="C66" s="22" t="s">
        <v>353</v>
      </c>
      <c r="D66" s="91">
        <v>4.92</v>
      </c>
      <c r="E66" s="97">
        <v>4</v>
      </c>
      <c r="F66" s="35">
        <v>3</v>
      </c>
      <c r="G66" s="35" t="s">
        <v>353</v>
      </c>
      <c r="H66" s="174">
        <v>48037681</v>
      </c>
      <c r="I66" s="35">
        <v>1124746677</v>
      </c>
      <c r="J66" s="177" t="s">
        <v>13</v>
      </c>
      <c r="K66" s="185"/>
      <c r="L66" s="180"/>
      <c r="M66" s="186"/>
    </row>
    <row r="67" spans="2:13" s="6" customFormat="1" ht="16.05" customHeight="1" thickBot="1">
      <c r="B67" s="19">
        <v>65</v>
      </c>
      <c r="C67" s="23" t="s">
        <v>354</v>
      </c>
      <c r="D67" s="93">
        <v>4.8499999999999996</v>
      </c>
      <c r="E67" s="98">
        <v>4</v>
      </c>
      <c r="F67" s="36">
        <v>44</v>
      </c>
      <c r="G67" s="36" t="s">
        <v>354</v>
      </c>
      <c r="H67" s="175">
        <v>48882223</v>
      </c>
      <c r="I67" s="36" t="s">
        <v>355</v>
      </c>
      <c r="J67" s="178" t="s">
        <v>38</v>
      </c>
      <c r="K67" s="185"/>
      <c r="L67" s="180"/>
      <c r="M67" s="186"/>
    </row>
    <row r="68" spans="2:13" s="6" customFormat="1" ht="16.05" customHeight="1">
      <c r="B68" s="20">
        <v>66</v>
      </c>
      <c r="C68" s="21" t="s">
        <v>356</v>
      </c>
      <c r="D68" s="92">
        <v>6.35</v>
      </c>
      <c r="E68" s="96">
        <v>5</v>
      </c>
      <c r="F68" s="34">
        <v>49</v>
      </c>
      <c r="G68" s="34" t="s">
        <v>356</v>
      </c>
      <c r="H68" s="173">
        <v>48569203</v>
      </c>
      <c r="I68" s="34" t="s">
        <v>357</v>
      </c>
      <c r="J68" s="176" t="s">
        <v>13</v>
      </c>
      <c r="K68" s="185"/>
      <c r="L68" s="180"/>
      <c r="M68" s="186"/>
    </row>
    <row r="69" spans="2:13" s="6" customFormat="1" ht="16.05" customHeight="1">
      <c r="B69" s="18">
        <v>67</v>
      </c>
      <c r="C69" s="22" t="s">
        <v>358</v>
      </c>
      <c r="D69" s="91">
        <v>4.6500000000000004</v>
      </c>
      <c r="E69" s="97">
        <v>5</v>
      </c>
      <c r="F69" s="35">
        <v>59</v>
      </c>
      <c r="G69" s="35" t="s">
        <v>358</v>
      </c>
      <c r="H69" s="174">
        <v>47869742</v>
      </c>
      <c r="I69" s="35" t="s">
        <v>359</v>
      </c>
      <c r="J69" s="177" t="s">
        <v>13</v>
      </c>
      <c r="K69" s="185"/>
      <c r="L69" s="180"/>
      <c r="M69" s="186"/>
    </row>
    <row r="70" spans="2:13" s="6" customFormat="1" ht="16.05" customHeight="1">
      <c r="B70" s="18">
        <v>68</v>
      </c>
      <c r="C70" s="22" t="s">
        <v>360</v>
      </c>
      <c r="D70" s="91">
        <v>4.1900000000000004</v>
      </c>
      <c r="E70" s="97">
        <v>5</v>
      </c>
      <c r="F70" s="35">
        <v>57</v>
      </c>
      <c r="G70" s="35" t="s">
        <v>360</v>
      </c>
      <c r="H70" s="174">
        <v>48637853</v>
      </c>
      <c r="I70" s="35">
        <v>1127069139</v>
      </c>
      <c r="J70" s="177" t="s">
        <v>13</v>
      </c>
      <c r="K70" s="185"/>
      <c r="L70" s="180"/>
      <c r="M70" s="186"/>
    </row>
    <row r="71" spans="2:13" s="6" customFormat="1" ht="16.05" customHeight="1">
      <c r="B71" s="18">
        <v>69</v>
      </c>
      <c r="C71" s="22" t="s">
        <v>361</v>
      </c>
      <c r="D71" s="94">
        <v>2.92</v>
      </c>
      <c r="E71" s="97">
        <v>6</v>
      </c>
      <c r="F71" s="35">
        <v>14</v>
      </c>
      <c r="G71" s="35" t="s">
        <v>361</v>
      </c>
      <c r="H71" s="174">
        <v>48637957</v>
      </c>
      <c r="I71" s="35">
        <v>1161138060</v>
      </c>
      <c r="J71" s="177" t="s">
        <v>38</v>
      </c>
      <c r="K71" s="185"/>
      <c r="L71" s="180"/>
      <c r="M71" s="186"/>
    </row>
    <row r="72" spans="2:13" s="6" customFormat="1" ht="16.05" customHeight="1" thickBot="1">
      <c r="B72" s="19">
        <v>70</v>
      </c>
      <c r="C72" s="23" t="s">
        <v>362</v>
      </c>
      <c r="D72" s="93">
        <v>5.8</v>
      </c>
      <c r="E72" s="98">
        <v>7</v>
      </c>
      <c r="F72" s="36">
        <v>31</v>
      </c>
      <c r="G72" s="36" t="s">
        <v>362</v>
      </c>
      <c r="H72" s="175">
        <v>48570027</v>
      </c>
      <c r="I72" s="36">
        <v>1135798981</v>
      </c>
      <c r="J72" s="178" t="s">
        <v>38</v>
      </c>
      <c r="K72" s="185"/>
      <c r="L72" s="180"/>
      <c r="M72" s="186"/>
    </row>
    <row r="73" spans="2:13" s="6" customFormat="1" ht="16.05" customHeight="1">
      <c r="B73" s="20">
        <v>71</v>
      </c>
      <c r="C73" s="21" t="s">
        <v>363</v>
      </c>
      <c r="D73" s="92">
        <v>5.32</v>
      </c>
      <c r="E73" s="96">
        <v>7</v>
      </c>
      <c r="F73" s="34">
        <v>63</v>
      </c>
      <c r="G73" s="34" t="s">
        <v>363</v>
      </c>
      <c r="H73" s="173">
        <v>47743843</v>
      </c>
      <c r="I73" s="34"/>
      <c r="J73" s="176" t="s">
        <v>13</v>
      </c>
      <c r="K73" s="185"/>
      <c r="L73" s="180"/>
      <c r="M73" s="186"/>
    </row>
    <row r="74" spans="2:13" s="6" customFormat="1" ht="16.05" customHeight="1">
      <c r="B74" s="18">
        <v>72</v>
      </c>
      <c r="C74" s="22" t="s">
        <v>364</v>
      </c>
      <c r="D74" s="94">
        <v>3.88</v>
      </c>
      <c r="E74" s="97">
        <v>8</v>
      </c>
      <c r="F74" s="35">
        <v>73</v>
      </c>
      <c r="G74" s="35" t="s">
        <v>364</v>
      </c>
      <c r="H74" s="174">
        <v>48570031</v>
      </c>
      <c r="I74" s="35" t="s">
        <v>365</v>
      </c>
      <c r="J74" s="177" t="s">
        <v>38</v>
      </c>
      <c r="K74" s="185"/>
      <c r="L74" s="180"/>
      <c r="M74" s="186"/>
    </row>
    <row r="75" spans="2:13" s="6" customFormat="1" ht="16.05" customHeight="1">
      <c r="B75" s="18">
        <v>73</v>
      </c>
      <c r="C75" s="22" t="s">
        <v>366</v>
      </c>
      <c r="D75" s="94">
        <v>3.69</v>
      </c>
      <c r="E75" s="97">
        <v>9</v>
      </c>
      <c r="F75" s="35">
        <v>8</v>
      </c>
      <c r="G75" s="35" t="s">
        <v>366</v>
      </c>
      <c r="H75" s="174">
        <v>48637918</v>
      </c>
      <c r="I75" s="35" t="s">
        <v>367</v>
      </c>
      <c r="J75" s="177" t="s">
        <v>38</v>
      </c>
      <c r="K75" s="185"/>
      <c r="L75" s="180"/>
      <c r="M75" s="186"/>
    </row>
    <row r="76" spans="2:13" s="6" customFormat="1" ht="16.05" customHeight="1" thickBot="1">
      <c r="B76" s="19">
        <v>74</v>
      </c>
      <c r="C76" s="23" t="s">
        <v>368</v>
      </c>
      <c r="D76" s="95">
        <v>3.5</v>
      </c>
      <c r="E76" s="98">
        <v>10</v>
      </c>
      <c r="F76" s="36">
        <v>12</v>
      </c>
      <c r="G76" s="36" t="s">
        <v>368</v>
      </c>
      <c r="H76" s="175">
        <v>47551761</v>
      </c>
      <c r="I76" s="36" t="s">
        <v>369</v>
      </c>
      <c r="J76" s="178" t="s">
        <v>13</v>
      </c>
      <c r="K76" s="188"/>
      <c r="L76" s="189"/>
      <c r="M76" s="190"/>
    </row>
  </sheetData>
  <mergeCells count="1">
    <mergeCell ref="B1:M1"/>
  </mergeCells>
  <printOptions horizontalCentered="1" verticalCentered="1"/>
  <pageMargins left="0.70866141732283472" right="0.70866141732283472" top="0" bottom="0" header="0.31496062992125984" footer="0.31496062992125984"/>
  <pageSetup paperSize="8" scale="9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6"/>
  <sheetViews>
    <sheetView topLeftCell="A49" workbookViewId="0">
      <selection activeCell="K15" sqref="K15"/>
    </sheetView>
  </sheetViews>
  <sheetFormatPr baseColWidth="10" defaultRowHeight="14.4"/>
  <cols>
    <col min="3" max="3" width="28.109375" customWidth="1"/>
    <col min="5" max="5" width="13.21875" customWidth="1"/>
    <col min="8" max="8" width="10.33203125" customWidth="1"/>
    <col min="9" max="9" width="34.33203125" customWidth="1"/>
  </cols>
  <sheetData>
    <row r="1" spans="2:9" ht="15" thickBot="1"/>
    <row r="2" spans="2:9" ht="27.6" thickBot="1">
      <c r="B2" s="162"/>
      <c r="C2" s="163"/>
      <c r="D2" s="161" t="s">
        <v>373</v>
      </c>
      <c r="E2" s="161" t="s">
        <v>374</v>
      </c>
      <c r="F2" s="161" t="s">
        <v>7</v>
      </c>
      <c r="G2" s="161" t="s">
        <v>375</v>
      </c>
      <c r="H2" s="161" t="s">
        <v>9</v>
      </c>
      <c r="I2" s="161" t="s">
        <v>10</v>
      </c>
    </row>
    <row r="3" spans="2:9" s="169" customFormat="1" ht="13.95" customHeight="1" thickBot="1">
      <c r="B3" s="164">
        <v>1</v>
      </c>
      <c r="C3" s="165" t="s">
        <v>330</v>
      </c>
      <c r="D3" s="166">
        <v>48569157</v>
      </c>
      <c r="E3" s="167">
        <v>1122592476</v>
      </c>
      <c r="F3" s="167" t="s">
        <v>376</v>
      </c>
      <c r="G3" s="167">
        <v>1164665737</v>
      </c>
      <c r="H3" s="168">
        <v>39476</v>
      </c>
      <c r="I3" s="167" t="s">
        <v>377</v>
      </c>
    </row>
    <row r="4" spans="2:9" s="169" customFormat="1" ht="13.95" customHeight="1" thickBot="1">
      <c r="B4" s="164">
        <v>2</v>
      </c>
      <c r="C4" s="165" t="s">
        <v>302</v>
      </c>
      <c r="D4" s="167">
        <v>48291526</v>
      </c>
      <c r="E4" s="167">
        <v>1134327113</v>
      </c>
      <c r="F4" s="167" t="s">
        <v>376</v>
      </c>
      <c r="G4" s="167">
        <v>1156023379</v>
      </c>
      <c r="H4" s="168">
        <v>39328</v>
      </c>
      <c r="I4" s="167" t="s">
        <v>378</v>
      </c>
    </row>
    <row r="5" spans="2:9" s="169" customFormat="1" ht="13.95" customHeight="1" thickBot="1">
      <c r="B5" s="164">
        <v>3</v>
      </c>
      <c r="C5" s="165" t="s">
        <v>353</v>
      </c>
      <c r="D5" s="167"/>
      <c r="E5" s="167" t="s">
        <v>379</v>
      </c>
      <c r="F5" s="167" t="s">
        <v>380</v>
      </c>
      <c r="G5" s="167">
        <v>1164802285</v>
      </c>
      <c r="H5" s="168">
        <v>39206</v>
      </c>
      <c r="I5" s="167" t="s">
        <v>381</v>
      </c>
    </row>
    <row r="6" spans="2:9" s="169" customFormat="1" ht="13.95" customHeight="1" thickBot="1">
      <c r="B6" s="164">
        <v>4</v>
      </c>
      <c r="C6" s="165" t="s">
        <v>318</v>
      </c>
      <c r="D6" s="166">
        <v>48569160</v>
      </c>
      <c r="E6" s="167">
        <v>1173643318</v>
      </c>
      <c r="F6" s="167" t="s">
        <v>376</v>
      </c>
      <c r="G6" s="167">
        <v>1136213770</v>
      </c>
      <c r="H6" s="168">
        <v>39457</v>
      </c>
      <c r="I6" s="167" t="s">
        <v>382</v>
      </c>
    </row>
    <row r="7" spans="2:9" s="169" customFormat="1" ht="13.95" customHeight="1" thickBot="1">
      <c r="B7" s="164">
        <v>5</v>
      </c>
      <c r="C7" s="165" t="s">
        <v>263</v>
      </c>
      <c r="D7" s="167">
        <v>94503078</v>
      </c>
      <c r="E7" s="167">
        <v>1165808844</v>
      </c>
      <c r="F7" s="167" t="s">
        <v>376</v>
      </c>
      <c r="G7" s="167">
        <v>1164587212</v>
      </c>
      <c r="H7" s="168">
        <v>39320</v>
      </c>
      <c r="I7" s="167" t="s">
        <v>383</v>
      </c>
    </row>
    <row r="8" spans="2:9" s="169" customFormat="1" ht="13.95" customHeight="1" thickBot="1">
      <c r="B8" s="164">
        <v>6</v>
      </c>
      <c r="C8" s="165" t="s">
        <v>293</v>
      </c>
      <c r="D8" s="167">
        <v>48378172</v>
      </c>
      <c r="E8" s="167">
        <v>2323293815</v>
      </c>
      <c r="F8" s="167" t="s">
        <v>376</v>
      </c>
      <c r="G8" s="167">
        <v>1164791810</v>
      </c>
      <c r="H8" s="168">
        <v>39398</v>
      </c>
      <c r="I8" s="167" t="s">
        <v>384</v>
      </c>
    </row>
    <row r="9" spans="2:9" s="169" customFormat="1" ht="13.95" customHeight="1" thickBot="1">
      <c r="B9" s="164">
        <v>7</v>
      </c>
      <c r="C9" s="165" t="s">
        <v>303</v>
      </c>
      <c r="D9" s="167">
        <v>48378171</v>
      </c>
      <c r="E9" s="167">
        <v>1160362958</v>
      </c>
      <c r="F9" s="167" t="s">
        <v>376</v>
      </c>
      <c r="G9" s="167">
        <v>1164791810</v>
      </c>
      <c r="H9" s="168">
        <v>39398</v>
      </c>
      <c r="I9" s="167" t="s">
        <v>385</v>
      </c>
    </row>
    <row r="10" spans="2:9" s="169" customFormat="1" ht="13.95" customHeight="1" thickBot="1">
      <c r="B10" s="164">
        <v>8</v>
      </c>
      <c r="C10" s="165" t="s">
        <v>366</v>
      </c>
      <c r="D10" s="167">
        <v>48637918</v>
      </c>
      <c r="E10" s="167">
        <v>1168008572</v>
      </c>
      <c r="F10" s="167" t="s">
        <v>376</v>
      </c>
      <c r="G10" s="167">
        <v>1134262655</v>
      </c>
      <c r="H10" s="168">
        <v>39582</v>
      </c>
      <c r="I10" s="167" t="s">
        <v>386</v>
      </c>
    </row>
    <row r="11" spans="2:9" s="169" customFormat="1" ht="13.95" customHeight="1" thickBot="1">
      <c r="B11" s="164">
        <v>9</v>
      </c>
      <c r="C11" s="165" t="s">
        <v>297</v>
      </c>
      <c r="D11" s="166">
        <v>47204313</v>
      </c>
      <c r="E11" s="167">
        <v>1164202854</v>
      </c>
      <c r="F11" s="167" t="s">
        <v>387</v>
      </c>
      <c r="G11" s="167">
        <v>1123116099</v>
      </c>
      <c r="H11" s="168">
        <v>38891</v>
      </c>
      <c r="I11" s="167" t="s">
        <v>388</v>
      </c>
    </row>
    <row r="12" spans="2:9" s="169" customFormat="1" ht="13.95" customHeight="1" thickBot="1">
      <c r="B12" s="164">
        <v>10</v>
      </c>
      <c r="C12" s="165" t="s">
        <v>308</v>
      </c>
      <c r="D12" s="166">
        <v>48504283</v>
      </c>
      <c r="E12" s="167">
        <v>1128892195</v>
      </c>
      <c r="F12" s="167" t="s">
        <v>387</v>
      </c>
      <c r="G12" s="167">
        <v>1159368602</v>
      </c>
      <c r="H12" s="168">
        <v>39488</v>
      </c>
      <c r="I12" s="167" t="s">
        <v>389</v>
      </c>
    </row>
    <row r="13" spans="2:9" s="169" customFormat="1" ht="13.95" customHeight="1" thickBot="1">
      <c r="B13" s="164">
        <v>11</v>
      </c>
      <c r="C13" s="165" t="s">
        <v>332</v>
      </c>
      <c r="D13" s="166">
        <v>47946143</v>
      </c>
      <c r="E13" s="167">
        <v>1128651499</v>
      </c>
      <c r="F13" s="167" t="s">
        <v>376</v>
      </c>
      <c r="G13" s="167">
        <v>11662774612</v>
      </c>
      <c r="H13" s="168">
        <v>39163</v>
      </c>
      <c r="I13" s="167" t="s">
        <v>390</v>
      </c>
    </row>
    <row r="14" spans="2:9" s="169" customFormat="1" ht="13.95" customHeight="1" thickBot="1">
      <c r="B14" s="164">
        <v>12</v>
      </c>
      <c r="C14" s="165" t="s">
        <v>368</v>
      </c>
      <c r="D14" s="167"/>
      <c r="E14" s="167"/>
      <c r="F14" s="167"/>
      <c r="G14" s="167"/>
      <c r="H14" s="167"/>
      <c r="I14" s="167"/>
    </row>
    <row r="15" spans="2:9" s="169" customFormat="1" ht="13.95" customHeight="1" thickBot="1">
      <c r="B15" s="164">
        <v>13</v>
      </c>
      <c r="C15" s="165" t="s">
        <v>316</v>
      </c>
      <c r="D15" s="166">
        <v>48637905</v>
      </c>
      <c r="E15" s="167">
        <v>1121926381</v>
      </c>
      <c r="F15" s="167" t="s">
        <v>391</v>
      </c>
      <c r="G15" s="167">
        <v>1127950804</v>
      </c>
      <c r="H15" s="168">
        <v>39594</v>
      </c>
      <c r="I15" s="167" t="s">
        <v>392</v>
      </c>
    </row>
    <row r="16" spans="2:9" s="169" customFormat="1" ht="13.95" customHeight="1" thickBot="1">
      <c r="B16" s="164">
        <v>14</v>
      </c>
      <c r="C16" s="165" t="s">
        <v>361</v>
      </c>
      <c r="D16" s="167"/>
      <c r="E16" s="167"/>
      <c r="F16" s="167"/>
      <c r="G16" s="167"/>
      <c r="H16" s="167"/>
      <c r="I16" s="167"/>
    </row>
    <row r="17" spans="2:9" s="169" customFormat="1" ht="13.95" customHeight="1" thickBot="1">
      <c r="B17" s="164">
        <v>15</v>
      </c>
      <c r="C17" s="165" t="s">
        <v>299</v>
      </c>
      <c r="D17" s="166">
        <v>94604562</v>
      </c>
      <c r="E17" s="167">
        <v>1160996212</v>
      </c>
      <c r="F17" s="167" t="s">
        <v>391</v>
      </c>
      <c r="G17" s="167">
        <v>1166181990</v>
      </c>
      <c r="H17" s="167" t="s">
        <v>393</v>
      </c>
      <c r="I17" s="167" t="s">
        <v>394</v>
      </c>
    </row>
    <row r="18" spans="2:9" s="169" customFormat="1" ht="13.95" customHeight="1" thickBot="1">
      <c r="B18" s="164">
        <v>16</v>
      </c>
      <c r="C18" s="165" t="s">
        <v>314</v>
      </c>
      <c r="D18" s="166">
        <v>48493382</v>
      </c>
      <c r="E18" s="167">
        <v>1140611248</v>
      </c>
      <c r="F18" s="167" t="s">
        <v>395</v>
      </c>
      <c r="G18" s="167">
        <v>1132154690</v>
      </c>
      <c r="H18" s="167" t="s">
        <v>396</v>
      </c>
      <c r="I18" s="167" t="s">
        <v>397</v>
      </c>
    </row>
    <row r="19" spans="2:9" s="169" customFormat="1" ht="13.95" customHeight="1" thickBot="1">
      <c r="B19" s="164">
        <v>17</v>
      </c>
      <c r="C19" s="165" t="s">
        <v>310</v>
      </c>
      <c r="D19" s="166">
        <v>48031069</v>
      </c>
      <c r="E19" s="167">
        <v>1160280769</v>
      </c>
      <c r="F19" s="167" t="s">
        <v>387</v>
      </c>
      <c r="G19" s="167">
        <v>1176377030</v>
      </c>
      <c r="H19" s="168">
        <v>39218</v>
      </c>
      <c r="I19" s="167" t="s">
        <v>398</v>
      </c>
    </row>
    <row r="20" spans="2:9" s="169" customFormat="1" ht="13.95" customHeight="1" thickBot="1">
      <c r="B20" s="164">
        <v>18</v>
      </c>
      <c r="C20" s="165" t="s">
        <v>325</v>
      </c>
      <c r="D20" s="167"/>
      <c r="E20" s="167"/>
      <c r="F20" s="167"/>
      <c r="G20" s="167"/>
      <c r="H20" s="167"/>
      <c r="I20" s="167"/>
    </row>
    <row r="21" spans="2:9" s="169" customFormat="1" ht="13.95" customHeight="1" thickBot="1">
      <c r="B21" s="164">
        <v>19</v>
      </c>
      <c r="C21" s="165" t="s">
        <v>278</v>
      </c>
      <c r="D21" s="167">
        <v>48871028</v>
      </c>
      <c r="E21" s="167">
        <v>1125755403</v>
      </c>
      <c r="F21" s="167" t="s">
        <v>391</v>
      </c>
      <c r="G21" s="167">
        <v>1162747261</v>
      </c>
      <c r="H21" s="168">
        <v>39612</v>
      </c>
      <c r="I21" s="167" t="s">
        <v>399</v>
      </c>
    </row>
    <row r="22" spans="2:9" s="169" customFormat="1" ht="13.95" customHeight="1" thickBot="1">
      <c r="B22" s="164">
        <v>20</v>
      </c>
      <c r="C22" s="165" t="s">
        <v>317</v>
      </c>
      <c r="D22" s="167" t="s">
        <v>400</v>
      </c>
      <c r="E22" s="167">
        <v>1166298667</v>
      </c>
      <c r="F22" s="167" t="s">
        <v>391</v>
      </c>
      <c r="G22" s="167">
        <v>1169578920</v>
      </c>
      <c r="H22" s="168">
        <v>39548</v>
      </c>
      <c r="I22" s="167" t="s">
        <v>401</v>
      </c>
    </row>
    <row r="23" spans="2:9" s="169" customFormat="1" ht="13.95" customHeight="1" thickBot="1">
      <c r="B23" s="164">
        <v>21</v>
      </c>
      <c r="C23" s="170" t="s">
        <v>342</v>
      </c>
      <c r="D23" s="167"/>
      <c r="E23" s="167"/>
      <c r="F23" s="167"/>
      <c r="G23" s="167"/>
      <c r="H23" s="167"/>
      <c r="I23" s="167"/>
    </row>
    <row r="24" spans="2:9" s="169" customFormat="1" ht="13.95" customHeight="1" thickBot="1">
      <c r="B24" s="164">
        <v>22</v>
      </c>
      <c r="C24" s="165" t="s">
        <v>295</v>
      </c>
      <c r="D24" s="171">
        <v>48637749</v>
      </c>
      <c r="E24" s="167">
        <v>1165413090</v>
      </c>
      <c r="F24" s="167" t="s">
        <v>391</v>
      </c>
      <c r="G24" s="167">
        <v>1165250650</v>
      </c>
      <c r="H24" s="168">
        <v>39541</v>
      </c>
      <c r="I24" s="167" t="s">
        <v>402</v>
      </c>
    </row>
    <row r="25" spans="2:9" s="169" customFormat="1" ht="13.95" customHeight="1" thickBot="1">
      <c r="B25" s="164">
        <v>23</v>
      </c>
      <c r="C25" s="170" t="s">
        <v>344</v>
      </c>
      <c r="D25" s="166">
        <v>48378236</v>
      </c>
      <c r="E25" s="167">
        <v>1166147869</v>
      </c>
      <c r="F25" s="167" t="s">
        <v>391</v>
      </c>
      <c r="G25" s="167">
        <v>1126985355</v>
      </c>
      <c r="H25" s="168">
        <v>39443</v>
      </c>
      <c r="I25" s="167" t="s">
        <v>403</v>
      </c>
    </row>
    <row r="26" spans="2:9" s="169" customFormat="1" ht="13.95" customHeight="1" thickBot="1">
      <c r="B26" s="164">
        <v>24</v>
      </c>
      <c r="C26" s="165" t="s">
        <v>322</v>
      </c>
      <c r="D26" s="166">
        <v>48637505</v>
      </c>
      <c r="E26" s="167">
        <v>1136965843</v>
      </c>
      <c r="F26" s="167" t="s">
        <v>376</v>
      </c>
      <c r="G26" s="167">
        <v>1139093548</v>
      </c>
      <c r="H26" s="168">
        <v>39502</v>
      </c>
      <c r="I26" s="167" t="s">
        <v>404</v>
      </c>
    </row>
    <row r="27" spans="2:9" s="169" customFormat="1" ht="13.95" customHeight="1" thickBot="1">
      <c r="B27" s="164">
        <v>25</v>
      </c>
      <c r="C27" s="170" t="s">
        <v>328</v>
      </c>
      <c r="D27" s="166">
        <v>48356895</v>
      </c>
      <c r="E27" s="167">
        <v>1173673432</v>
      </c>
      <c r="F27" s="167" t="s">
        <v>391</v>
      </c>
      <c r="G27" s="167">
        <v>1123910401</v>
      </c>
      <c r="H27" s="167" t="s">
        <v>405</v>
      </c>
      <c r="I27" s="167" t="s">
        <v>406</v>
      </c>
    </row>
    <row r="28" spans="2:9" s="169" customFormat="1" ht="13.95" customHeight="1" thickBot="1">
      <c r="B28" s="164">
        <v>26</v>
      </c>
      <c r="C28" s="165" t="s">
        <v>312</v>
      </c>
      <c r="D28" s="166">
        <v>48316031</v>
      </c>
      <c r="E28" s="167">
        <v>1157216439</v>
      </c>
      <c r="F28" s="167" t="s">
        <v>391</v>
      </c>
      <c r="G28" s="167">
        <v>1127760392</v>
      </c>
      <c r="H28" s="168">
        <v>39411</v>
      </c>
      <c r="I28" s="167" t="s">
        <v>407</v>
      </c>
    </row>
    <row r="29" spans="2:9" s="169" customFormat="1" ht="13.95" customHeight="1" thickBot="1">
      <c r="B29" s="164">
        <v>27</v>
      </c>
      <c r="C29" s="170" t="s">
        <v>264</v>
      </c>
      <c r="D29" s="166">
        <v>48570105</v>
      </c>
      <c r="E29" s="167">
        <v>1127926220</v>
      </c>
      <c r="F29" s="167" t="s">
        <v>380</v>
      </c>
      <c r="G29" s="167">
        <v>1157578300</v>
      </c>
      <c r="H29" s="168">
        <v>39520</v>
      </c>
      <c r="I29" s="167" t="s">
        <v>408</v>
      </c>
    </row>
    <row r="30" spans="2:9" s="169" customFormat="1" ht="13.95" customHeight="1" thickBot="1">
      <c r="B30" s="164">
        <v>28</v>
      </c>
      <c r="C30" s="165" t="s">
        <v>349</v>
      </c>
      <c r="D30" s="166">
        <v>48059154</v>
      </c>
      <c r="E30" s="167">
        <v>1126572703</v>
      </c>
      <c r="F30" s="167" t="s">
        <v>376</v>
      </c>
      <c r="G30" s="167">
        <v>1159890122</v>
      </c>
      <c r="H30" s="168">
        <v>39114</v>
      </c>
      <c r="I30" s="167" t="s">
        <v>409</v>
      </c>
    </row>
    <row r="31" spans="2:9" s="169" customFormat="1" ht="13.95" customHeight="1" thickBot="1">
      <c r="B31" s="164">
        <v>29</v>
      </c>
      <c r="C31" s="165" t="s">
        <v>300</v>
      </c>
      <c r="D31" s="167">
        <v>48569147</v>
      </c>
      <c r="E31" s="167">
        <v>1131160167</v>
      </c>
      <c r="F31" s="167" t="s">
        <v>391</v>
      </c>
      <c r="G31" s="167">
        <v>1168612863</v>
      </c>
      <c r="H31" s="168">
        <v>39480</v>
      </c>
      <c r="I31" s="167" t="s">
        <v>410</v>
      </c>
    </row>
    <row r="32" spans="2:9" s="169" customFormat="1" ht="13.95" customHeight="1" thickBot="1">
      <c r="B32" s="164">
        <v>30</v>
      </c>
      <c r="C32" s="165" t="s">
        <v>336</v>
      </c>
      <c r="D32" s="166">
        <v>48569169</v>
      </c>
      <c r="E32" s="167">
        <v>1153108121</v>
      </c>
      <c r="F32" s="167" t="s">
        <v>376</v>
      </c>
      <c r="G32" s="167">
        <v>1132141880</v>
      </c>
      <c r="H32" s="168">
        <v>39470</v>
      </c>
      <c r="I32" s="167" t="s">
        <v>411</v>
      </c>
    </row>
    <row r="33" spans="2:9" s="169" customFormat="1" ht="13.95" customHeight="1" thickBot="1">
      <c r="B33" s="164">
        <v>31</v>
      </c>
      <c r="C33" s="165" t="s">
        <v>362</v>
      </c>
      <c r="D33" s="166">
        <v>48570027</v>
      </c>
      <c r="E33" s="167">
        <v>1166075133</v>
      </c>
      <c r="F33" s="167" t="s">
        <v>376</v>
      </c>
      <c r="G33" s="167">
        <v>1134239874</v>
      </c>
      <c r="H33" s="168">
        <v>39485</v>
      </c>
      <c r="I33" s="167" t="s">
        <v>412</v>
      </c>
    </row>
    <row r="34" spans="2:9" s="169" customFormat="1" ht="13.95" customHeight="1" thickBot="1">
      <c r="B34" s="164">
        <v>32</v>
      </c>
      <c r="C34" s="165" t="s">
        <v>289</v>
      </c>
      <c r="D34" s="166">
        <v>48381436</v>
      </c>
      <c r="E34" s="167">
        <v>1165808820</v>
      </c>
      <c r="F34" s="167" t="s">
        <v>387</v>
      </c>
      <c r="G34" s="167">
        <v>1151057179</v>
      </c>
      <c r="H34" s="168">
        <v>39394</v>
      </c>
      <c r="I34" s="167" t="s">
        <v>413</v>
      </c>
    </row>
    <row r="35" spans="2:9" s="169" customFormat="1" ht="13.95" customHeight="1" thickBot="1">
      <c r="B35" s="164">
        <v>33</v>
      </c>
      <c r="C35" s="165" t="s">
        <v>258</v>
      </c>
      <c r="D35" s="167">
        <v>48567432</v>
      </c>
      <c r="E35" s="167">
        <v>1151594914</v>
      </c>
      <c r="F35" s="167" t="s">
        <v>387</v>
      </c>
      <c r="G35" s="167">
        <v>1161171046</v>
      </c>
      <c r="H35" s="168">
        <v>39515</v>
      </c>
      <c r="I35" s="167" t="s">
        <v>414</v>
      </c>
    </row>
    <row r="36" spans="2:9" s="169" customFormat="1" ht="13.95" customHeight="1" thickBot="1">
      <c r="B36" s="164">
        <v>34</v>
      </c>
      <c r="C36" s="165" t="s">
        <v>261</v>
      </c>
      <c r="D36" s="167">
        <v>48241816</v>
      </c>
      <c r="E36" s="167">
        <v>1141569976</v>
      </c>
      <c r="F36" s="167" t="s">
        <v>391</v>
      </c>
      <c r="G36" s="167">
        <v>1121884071</v>
      </c>
      <c r="H36" s="168">
        <v>39407</v>
      </c>
      <c r="I36" s="167" t="s">
        <v>415</v>
      </c>
    </row>
    <row r="37" spans="2:9" s="169" customFormat="1" ht="13.95" customHeight="1" thickBot="1">
      <c r="B37" s="164">
        <v>35</v>
      </c>
      <c r="C37" s="165" t="s">
        <v>315</v>
      </c>
      <c r="D37" s="166">
        <v>47700610</v>
      </c>
      <c r="E37" s="167">
        <v>1168688308</v>
      </c>
      <c r="F37" s="167" t="s">
        <v>387</v>
      </c>
      <c r="G37" s="167" t="s">
        <v>416</v>
      </c>
      <c r="H37" s="168">
        <v>39108</v>
      </c>
      <c r="I37" s="167" t="s">
        <v>417</v>
      </c>
    </row>
    <row r="38" spans="2:9" s="169" customFormat="1" ht="13.95" customHeight="1" thickBot="1">
      <c r="B38" s="164">
        <v>36</v>
      </c>
      <c r="C38" s="165" t="s">
        <v>284</v>
      </c>
      <c r="D38" s="167"/>
      <c r="E38" s="167"/>
      <c r="F38" s="167"/>
      <c r="G38" s="167"/>
      <c r="H38" s="167"/>
      <c r="I38" s="167"/>
    </row>
    <row r="39" spans="2:9" s="169" customFormat="1" ht="13.95" customHeight="1" thickBot="1">
      <c r="B39" s="164">
        <v>37</v>
      </c>
      <c r="C39" s="165" t="s">
        <v>292</v>
      </c>
      <c r="D39" s="167">
        <v>48378182</v>
      </c>
      <c r="E39" s="167">
        <v>1123891438</v>
      </c>
      <c r="F39" s="167" t="s">
        <v>391</v>
      </c>
      <c r="G39" s="167">
        <v>1162526376</v>
      </c>
      <c r="H39" s="168">
        <v>39415</v>
      </c>
      <c r="I39" s="167" t="s">
        <v>418</v>
      </c>
    </row>
    <row r="40" spans="2:9" s="169" customFormat="1" ht="13.95" customHeight="1" thickBot="1">
      <c r="B40" s="164">
        <v>38</v>
      </c>
      <c r="C40" s="165" t="s">
        <v>259</v>
      </c>
      <c r="D40" s="167">
        <v>48181362</v>
      </c>
      <c r="E40" s="167">
        <v>1172350799</v>
      </c>
      <c r="F40" s="167" t="s">
        <v>391</v>
      </c>
      <c r="G40" s="167">
        <v>1151815503</v>
      </c>
      <c r="H40" s="168">
        <v>39356</v>
      </c>
      <c r="I40" s="167" t="s">
        <v>419</v>
      </c>
    </row>
    <row r="41" spans="2:9" s="169" customFormat="1" ht="13.95" customHeight="1" thickBot="1">
      <c r="B41" s="164">
        <v>39</v>
      </c>
      <c r="C41" s="165" t="s">
        <v>320</v>
      </c>
      <c r="D41" s="166">
        <v>48662775</v>
      </c>
      <c r="E41" s="167">
        <v>1125984300</v>
      </c>
      <c r="F41" s="167" t="s">
        <v>387</v>
      </c>
      <c r="G41" s="167">
        <v>1154734970</v>
      </c>
      <c r="H41" s="168">
        <v>39554</v>
      </c>
      <c r="I41" s="167" t="s">
        <v>420</v>
      </c>
    </row>
    <row r="42" spans="2:9" s="169" customFormat="1" ht="13.95" customHeight="1" thickBot="1">
      <c r="B42" s="164">
        <v>40</v>
      </c>
      <c r="C42" s="165" t="s">
        <v>421</v>
      </c>
      <c r="D42" s="167">
        <v>47633464</v>
      </c>
      <c r="E42" s="167"/>
      <c r="F42" s="167" t="s">
        <v>387</v>
      </c>
      <c r="G42" s="167">
        <v>1154746740</v>
      </c>
      <c r="H42" s="168">
        <v>39167</v>
      </c>
      <c r="I42" s="167" t="s">
        <v>422</v>
      </c>
    </row>
    <row r="43" spans="2:9" s="169" customFormat="1" ht="13.95" customHeight="1" thickBot="1">
      <c r="B43" s="164">
        <v>41</v>
      </c>
      <c r="C43" s="165" t="s">
        <v>313</v>
      </c>
      <c r="D43" s="166">
        <v>48916919</v>
      </c>
      <c r="E43" s="167">
        <v>1128991908</v>
      </c>
      <c r="F43" s="167" t="s">
        <v>376</v>
      </c>
      <c r="G43" s="167">
        <v>1161506485</v>
      </c>
      <c r="H43" s="168">
        <v>39588</v>
      </c>
      <c r="I43" s="167" t="s">
        <v>423</v>
      </c>
    </row>
    <row r="44" spans="2:9" s="169" customFormat="1" ht="13.95" customHeight="1" thickBot="1">
      <c r="B44" s="164">
        <v>42</v>
      </c>
      <c r="C44" s="165" t="s">
        <v>286</v>
      </c>
      <c r="D44" s="167">
        <v>95648426</v>
      </c>
      <c r="E44" s="167">
        <v>1171339015</v>
      </c>
      <c r="F44" s="167" t="s">
        <v>376</v>
      </c>
      <c r="G44" s="167" t="s">
        <v>424</v>
      </c>
      <c r="H44" s="167" t="s">
        <v>425</v>
      </c>
      <c r="I44" s="167" t="s">
        <v>426</v>
      </c>
    </row>
    <row r="45" spans="2:9" s="169" customFormat="1" ht="13.95" customHeight="1" thickBot="1">
      <c r="B45" s="164">
        <v>43</v>
      </c>
      <c r="C45" s="165" t="s">
        <v>268</v>
      </c>
      <c r="D45" s="171">
        <v>48287773</v>
      </c>
      <c r="E45" s="167">
        <v>1156189580</v>
      </c>
      <c r="F45" s="167" t="s">
        <v>376</v>
      </c>
      <c r="G45" s="167">
        <v>1170969641</v>
      </c>
      <c r="H45" s="168">
        <v>39336</v>
      </c>
      <c r="I45" s="171" t="s">
        <v>427</v>
      </c>
    </row>
    <row r="46" spans="2:9" s="169" customFormat="1" ht="13.95" customHeight="1" thickBot="1">
      <c r="B46" s="164">
        <v>44</v>
      </c>
      <c r="C46" s="165" t="s">
        <v>354</v>
      </c>
      <c r="D46" s="167">
        <v>48882223</v>
      </c>
      <c r="E46" s="167">
        <v>1122966209</v>
      </c>
      <c r="F46" s="167" t="s">
        <v>376</v>
      </c>
      <c r="G46" s="167">
        <v>1144781965</v>
      </c>
      <c r="H46" s="168">
        <v>39619</v>
      </c>
      <c r="I46" s="167" t="s">
        <v>428</v>
      </c>
    </row>
    <row r="47" spans="2:9" s="169" customFormat="1" ht="13.95" customHeight="1" thickBot="1">
      <c r="B47" s="164">
        <v>45</v>
      </c>
      <c r="C47" s="165" t="s">
        <v>347</v>
      </c>
      <c r="D47" s="167">
        <v>48637910</v>
      </c>
      <c r="E47" s="167">
        <v>1135922954</v>
      </c>
      <c r="F47" s="167" t="s">
        <v>391</v>
      </c>
      <c r="G47" s="167">
        <v>1154663384</v>
      </c>
      <c r="H47" s="168">
        <v>39576</v>
      </c>
      <c r="I47" s="167" t="s">
        <v>429</v>
      </c>
    </row>
    <row r="48" spans="2:9" s="169" customFormat="1" ht="13.95" customHeight="1" thickBot="1">
      <c r="B48" s="164">
        <v>46</v>
      </c>
      <c r="C48" s="165" t="s">
        <v>334</v>
      </c>
      <c r="D48" s="167">
        <v>48286654</v>
      </c>
      <c r="E48" s="167">
        <v>1140565825</v>
      </c>
      <c r="F48" s="167" t="s">
        <v>376</v>
      </c>
      <c r="G48" s="167">
        <v>1124618931</v>
      </c>
      <c r="H48" s="168">
        <v>39303</v>
      </c>
      <c r="I48" s="167" t="s">
        <v>430</v>
      </c>
    </row>
    <row r="49" spans="2:9" s="169" customFormat="1" ht="13.95" customHeight="1" thickBot="1">
      <c r="B49" s="164">
        <v>47</v>
      </c>
      <c r="C49" s="165" t="s">
        <v>275</v>
      </c>
      <c r="D49" s="167">
        <v>48214623</v>
      </c>
      <c r="E49" s="167">
        <v>1128699130</v>
      </c>
      <c r="F49" s="167" t="s">
        <v>391</v>
      </c>
      <c r="G49" s="167">
        <v>1140390290</v>
      </c>
      <c r="H49" s="168">
        <v>39267</v>
      </c>
      <c r="I49" s="167" t="s">
        <v>431</v>
      </c>
    </row>
    <row r="50" spans="2:9" s="169" customFormat="1" ht="13.95" customHeight="1" thickBot="1">
      <c r="B50" s="164">
        <v>48</v>
      </c>
      <c r="C50" s="170" t="s">
        <v>287</v>
      </c>
      <c r="D50" s="167">
        <v>48295653</v>
      </c>
      <c r="E50" s="167">
        <v>1153765068</v>
      </c>
      <c r="F50" s="167" t="s">
        <v>391</v>
      </c>
      <c r="G50" s="167">
        <v>1125017229</v>
      </c>
      <c r="H50" s="168">
        <v>39383</v>
      </c>
      <c r="I50" s="167" t="s">
        <v>432</v>
      </c>
    </row>
    <row r="51" spans="2:9" s="169" customFormat="1" ht="13.95" customHeight="1" thickBot="1">
      <c r="B51" s="164">
        <v>49</v>
      </c>
      <c r="C51" s="165" t="s">
        <v>356</v>
      </c>
      <c r="D51" s="171">
        <v>48569203</v>
      </c>
      <c r="E51" s="167">
        <v>1123603575</v>
      </c>
      <c r="F51" s="167" t="s">
        <v>380</v>
      </c>
      <c r="G51" s="167" t="s">
        <v>357</v>
      </c>
      <c r="H51" s="168">
        <v>39480</v>
      </c>
      <c r="I51" s="167" t="s">
        <v>433</v>
      </c>
    </row>
    <row r="52" spans="2:9" s="169" customFormat="1" ht="13.95" customHeight="1" thickBot="1">
      <c r="B52" s="164">
        <v>50</v>
      </c>
      <c r="C52" s="165" t="s">
        <v>270</v>
      </c>
      <c r="D52" s="171">
        <v>48378145</v>
      </c>
      <c r="E52" s="167">
        <v>1128857181</v>
      </c>
      <c r="F52" s="167" t="s">
        <v>387</v>
      </c>
      <c r="G52" s="167" t="s">
        <v>434</v>
      </c>
      <c r="H52" s="168">
        <v>39401</v>
      </c>
      <c r="I52" s="167" t="s">
        <v>435</v>
      </c>
    </row>
    <row r="53" spans="2:9" s="169" customFormat="1" ht="13.95" customHeight="1" thickBot="1">
      <c r="B53" s="164">
        <v>51</v>
      </c>
      <c r="C53" s="165" t="s">
        <v>304</v>
      </c>
      <c r="D53" s="171">
        <v>48675433</v>
      </c>
      <c r="E53" s="167">
        <v>1121585632</v>
      </c>
      <c r="F53" s="167" t="s">
        <v>387</v>
      </c>
      <c r="G53" s="167" t="s">
        <v>305</v>
      </c>
      <c r="H53" s="168">
        <v>39560</v>
      </c>
      <c r="I53" s="167" t="s">
        <v>436</v>
      </c>
    </row>
    <row r="54" spans="2:9" s="169" customFormat="1" ht="13.95" customHeight="1" thickBot="1">
      <c r="B54" s="164">
        <v>52</v>
      </c>
      <c r="C54" s="165" t="s">
        <v>324</v>
      </c>
      <c r="D54" s="167">
        <v>48445595</v>
      </c>
      <c r="E54" s="167">
        <v>1138663479</v>
      </c>
      <c r="F54" s="167" t="s">
        <v>391</v>
      </c>
      <c r="G54" s="167">
        <v>1121817065</v>
      </c>
      <c r="H54" s="168">
        <v>39450</v>
      </c>
      <c r="I54" s="167" t="s">
        <v>437</v>
      </c>
    </row>
    <row r="55" spans="2:9" s="169" customFormat="1" ht="13.95" customHeight="1" thickBot="1">
      <c r="B55" s="164">
        <v>53</v>
      </c>
      <c r="C55" s="165" t="s">
        <v>351</v>
      </c>
      <c r="D55" s="167"/>
      <c r="E55" s="167"/>
      <c r="F55" s="167"/>
      <c r="G55" s="167"/>
      <c r="H55" s="167"/>
      <c r="I55" s="167"/>
    </row>
    <row r="56" spans="2:9" s="169" customFormat="1" ht="13.95" customHeight="1" thickBot="1">
      <c r="B56" s="164">
        <v>54</v>
      </c>
      <c r="C56" s="165" t="s">
        <v>266</v>
      </c>
      <c r="D56" s="167">
        <v>48244634</v>
      </c>
      <c r="E56" s="167">
        <v>1167672151</v>
      </c>
      <c r="F56" s="167" t="s">
        <v>391</v>
      </c>
      <c r="G56" s="167">
        <v>1128504054</v>
      </c>
      <c r="H56" s="168">
        <v>39371</v>
      </c>
      <c r="I56" s="167" t="s">
        <v>438</v>
      </c>
    </row>
    <row r="57" spans="2:9" s="169" customFormat="1" ht="13.95" customHeight="1" thickBot="1">
      <c r="B57" s="164">
        <v>55</v>
      </c>
      <c r="C57" s="165" t="s">
        <v>279</v>
      </c>
      <c r="D57" s="167">
        <v>48040846</v>
      </c>
      <c r="E57" s="167">
        <v>1124583720</v>
      </c>
      <c r="F57" s="167" t="s">
        <v>391</v>
      </c>
      <c r="G57" s="167">
        <v>1124583651</v>
      </c>
      <c r="H57" s="168">
        <v>39321</v>
      </c>
      <c r="I57" s="167" t="s">
        <v>439</v>
      </c>
    </row>
    <row r="58" spans="2:9" s="169" customFormat="1" ht="13.95" customHeight="1" thickBot="1">
      <c r="B58" s="164">
        <v>56</v>
      </c>
      <c r="C58" s="165" t="s">
        <v>326</v>
      </c>
      <c r="D58" s="171">
        <v>48762539</v>
      </c>
      <c r="E58" s="167">
        <v>1136305164</v>
      </c>
      <c r="F58" s="167" t="s">
        <v>376</v>
      </c>
      <c r="G58" s="167">
        <v>1135751703</v>
      </c>
      <c r="H58" s="168">
        <v>39542</v>
      </c>
      <c r="I58" s="167" t="s">
        <v>440</v>
      </c>
    </row>
    <row r="59" spans="2:9" s="169" customFormat="1" ht="13.95" customHeight="1" thickBot="1">
      <c r="B59" s="164">
        <v>57</v>
      </c>
      <c r="C59" s="165" t="s">
        <v>360</v>
      </c>
      <c r="D59" s="167"/>
      <c r="E59" s="167"/>
      <c r="F59" s="167"/>
      <c r="G59" s="167"/>
      <c r="H59" s="167"/>
      <c r="I59" s="167"/>
    </row>
    <row r="60" spans="2:9" s="169" customFormat="1" ht="13.95" customHeight="1" thickBot="1">
      <c r="B60" s="164">
        <v>58</v>
      </c>
      <c r="C60" s="165" t="s">
        <v>321</v>
      </c>
      <c r="D60" s="167">
        <v>47119277</v>
      </c>
      <c r="E60" s="167">
        <v>1171122778</v>
      </c>
      <c r="F60" s="167" t="s">
        <v>380</v>
      </c>
      <c r="G60" s="167">
        <v>1176377030</v>
      </c>
      <c r="H60" s="168">
        <v>38750</v>
      </c>
      <c r="I60" s="167" t="s">
        <v>441</v>
      </c>
    </row>
    <row r="61" spans="2:9" s="169" customFormat="1" ht="13.95" customHeight="1" thickBot="1">
      <c r="B61" s="164">
        <v>59</v>
      </c>
      <c r="C61" s="165" t="s">
        <v>358</v>
      </c>
      <c r="D61" s="167">
        <v>47869742</v>
      </c>
      <c r="E61" s="167">
        <v>1150435216</v>
      </c>
      <c r="F61" s="167" t="s">
        <v>380</v>
      </c>
      <c r="G61" s="167">
        <v>1140984396</v>
      </c>
      <c r="H61" s="168">
        <v>39272</v>
      </c>
      <c r="I61" s="167" t="s">
        <v>442</v>
      </c>
    </row>
    <row r="62" spans="2:9" s="169" customFormat="1" ht="13.95" customHeight="1" thickBot="1">
      <c r="B62" s="164">
        <v>60</v>
      </c>
      <c r="C62" s="165" t="s">
        <v>340</v>
      </c>
      <c r="D62" s="167">
        <v>48287855</v>
      </c>
      <c r="E62" s="167">
        <v>1130593129</v>
      </c>
      <c r="F62" s="167" t="s">
        <v>380</v>
      </c>
      <c r="G62" s="167"/>
      <c r="H62" s="167"/>
      <c r="I62" s="167"/>
    </row>
    <row r="63" spans="2:9" s="169" customFormat="1" ht="13.95" customHeight="1" thickBot="1">
      <c r="B63" s="164">
        <v>61</v>
      </c>
      <c r="C63" s="165" t="s">
        <v>343</v>
      </c>
      <c r="D63" s="167"/>
      <c r="E63" s="167"/>
      <c r="F63" s="167"/>
      <c r="G63" s="167"/>
      <c r="H63" s="167"/>
      <c r="I63" s="167"/>
    </row>
    <row r="64" spans="2:9" s="169" customFormat="1" ht="13.95" customHeight="1" thickBot="1">
      <c r="B64" s="164">
        <v>62</v>
      </c>
      <c r="C64" s="165" t="s">
        <v>338</v>
      </c>
      <c r="D64" s="167">
        <v>48637537</v>
      </c>
      <c r="E64" s="167">
        <v>1168931394</v>
      </c>
      <c r="F64" s="167" t="s">
        <v>376</v>
      </c>
      <c r="G64" s="167">
        <v>1166028182</v>
      </c>
      <c r="H64" s="168">
        <v>39492</v>
      </c>
      <c r="I64" s="167" t="s">
        <v>443</v>
      </c>
    </row>
    <row r="65" spans="2:9" s="169" customFormat="1" ht="13.95" customHeight="1" thickBot="1">
      <c r="B65" s="164">
        <v>63</v>
      </c>
      <c r="C65" s="165" t="s">
        <v>363</v>
      </c>
      <c r="D65" s="167">
        <v>47743843</v>
      </c>
      <c r="E65" s="167">
        <v>1131969903</v>
      </c>
      <c r="F65" s="167" t="s">
        <v>380</v>
      </c>
      <c r="G65" s="167"/>
      <c r="H65" s="168">
        <v>39092</v>
      </c>
      <c r="I65" s="167" t="s">
        <v>444</v>
      </c>
    </row>
    <row r="66" spans="2:9" s="169" customFormat="1" ht="13.95" customHeight="1" thickBot="1">
      <c r="B66" s="164">
        <v>64</v>
      </c>
      <c r="C66" s="165" t="s">
        <v>298</v>
      </c>
      <c r="D66" s="167">
        <v>48113860</v>
      </c>
      <c r="E66" s="167">
        <v>1127831449</v>
      </c>
      <c r="F66" s="167" t="s">
        <v>391</v>
      </c>
      <c r="G66" s="167" t="s">
        <v>445</v>
      </c>
      <c r="H66" s="168">
        <v>39418</v>
      </c>
      <c r="I66" s="167" t="s">
        <v>446</v>
      </c>
    </row>
    <row r="67" spans="2:9" s="169" customFormat="1" ht="13.95" customHeight="1" thickBot="1">
      <c r="B67" s="164">
        <v>65</v>
      </c>
      <c r="C67" s="165" t="s">
        <v>277</v>
      </c>
      <c r="D67" s="167">
        <v>47869204</v>
      </c>
      <c r="E67" s="167">
        <v>1132591474</v>
      </c>
      <c r="F67" s="167" t="s">
        <v>376</v>
      </c>
      <c r="G67" s="167">
        <v>1169788115</v>
      </c>
      <c r="H67" s="168">
        <v>39573</v>
      </c>
      <c r="I67" s="167" t="s">
        <v>447</v>
      </c>
    </row>
    <row r="68" spans="2:9" s="169" customFormat="1" ht="13.95" customHeight="1" thickBot="1">
      <c r="B68" s="164">
        <v>66</v>
      </c>
      <c r="C68" s="165" t="s">
        <v>306</v>
      </c>
      <c r="D68" s="167">
        <v>48378206</v>
      </c>
      <c r="E68" s="167">
        <v>1152620624</v>
      </c>
      <c r="F68" s="167" t="s">
        <v>380</v>
      </c>
      <c r="G68" s="167">
        <v>1135144332</v>
      </c>
      <c r="H68" s="168">
        <v>39412</v>
      </c>
      <c r="I68" s="167" t="s">
        <v>448</v>
      </c>
    </row>
    <row r="69" spans="2:9" s="169" customFormat="1" ht="13.95" customHeight="1" thickBot="1">
      <c r="B69" s="164">
        <v>67</v>
      </c>
      <c r="C69" s="165" t="s">
        <v>346</v>
      </c>
      <c r="D69" s="167"/>
      <c r="E69" s="167"/>
      <c r="F69" s="167"/>
      <c r="G69" s="167"/>
      <c r="H69" s="167"/>
      <c r="I69" s="167"/>
    </row>
    <row r="70" spans="2:9" s="169" customFormat="1" ht="13.95" customHeight="1" thickBot="1">
      <c r="B70" s="164">
        <v>68</v>
      </c>
      <c r="C70" s="165" t="s">
        <v>272</v>
      </c>
      <c r="D70" s="166">
        <v>48763542</v>
      </c>
      <c r="E70" s="167">
        <v>1159650341</v>
      </c>
      <c r="F70" s="167" t="s">
        <v>391</v>
      </c>
      <c r="G70" s="167">
        <v>1140767522</v>
      </c>
      <c r="H70" s="168">
        <v>39591</v>
      </c>
      <c r="I70" s="167" t="s">
        <v>449</v>
      </c>
    </row>
    <row r="71" spans="2:9" s="169" customFormat="1" ht="13.95" customHeight="1" thickBot="1">
      <c r="B71" s="164">
        <v>69</v>
      </c>
      <c r="C71" s="165" t="s">
        <v>276</v>
      </c>
      <c r="D71" s="167"/>
      <c r="E71" s="167"/>
      <c r="F71" s="167"/>
      <c r="G71" s="167"/>
      <c r="H71" s="167"/>
      <c r="I71" s="167"/>
    </row>
    <row r="72" spans="2:9" s="169" customFormat="1" ht="13.95" customHeight="1" thickBot="1">
      <c r="B72" s="164">
        <v>70</v>
      </c>
      <c r="C72" s="165" t="s">
        <v>271</v>
      </c>
      <c r="D72" s="167">
        <v>48243718</v>
      </c>
      <c r="E72" s="167">
        <v>1165535012</v>
      </c>
      <c r="F72" s="167" t="s">
        <v>391</v>
      </c>
      <c r="G72" s="167">
        <v>1141948985</v>
      </c>
      <c r="H72" s="168">
        <v>39358</v>
      </c>
      <c r="I72" s="167" t="s">
        <v>450</v>
      </c>
    </row>
    <row r="73" spans="2:9" s="169" customFormat="1" ht="13.95" customHeight="1" thickBot="1">
      <c r="B73" s="164">
        <v>71</v>
      </c>
      <c r="C73" s="165" t="s">
        <v>281</v>
      </c>
      <c r="D73" s="167">
        <v>48570058</v>
      </c>
      <c r="E73" s="167">
        <v>1138708621</v>
      </c>
      <c r="F73" s="167" t="s">
        <v>376</v>
      </c>
      <c r="G73" s="167">
        <v>1130598613</v>
      </c>
      <c r="H73" s="168">
        <v>39494</v>
      </c>
      <c r="I73" s="167" t="s">
        <v>451</v>
      </c>
    </row>
    <row r="74" spans="2:9" s="169" customFormat="1" ht="13.95" customHeight="1" thickBot="1">
      <c r="B74" s="164">
        <v>72</v>
      </c>
      <c r="C74" s="165" t="s">
        <v>283</v>
      </c>
      <c r="D74" s="167">
        <v>48378203</v>
      </c>
      <c r="E74" s="167">
        <v>1162672826</v>
      </c>
      <c r="F74" s="167" t="s">
        <v>380</v>
      </c>
      <c r="G74" s="167">
        <v>1161080816</v>
      </c>
      <c r="H74" s="168">
        <v>39412</v>
      </c>
      <c r="I74" s="167" t="s">
        <v>452</v>
      </c>
    </row>
    <row r="75" spans="2:9" s="169" customFormat="1" ht="13.95" customHeight="1" thickBot="1">
      <c r="B75" s="164">
        <v>73</v>
      </c>
      <c r="C75" s="165" t="s">
        <v>364</v>
      </c>
      <c r="D75" s="167">
        <v>48570031</v>
      </c>
      <c r="E75" s="167">
        <v>1130837194</v>
      </c>
      <c r="F75" s="167" t="s">
        <v>376</v>
      </c>
      <c r="G75" s="167">
        <v>1130525815</v>
      </c>
      <c r="H75" s="167" t="s">
        <v>453</v>
      </c>
      <c r="I75" s="167" t="s">
        <v>454</v>
      </c>
    </row>
    <row r="76" spans="2:9" s="169" customFormat="1" ht="13.95" customHeight="1" thickBot="1">
      <c r="B76" s="164">
        <v>74</v>
      </c>
      <c r="C76" s="165" t="s">
        <v>291</v>
      </c>
      <c r="D76" s="167">
        <v>47801904</v>
      </c>
      <c r="E76" s="167">
        <v>1135626397</v>
      </c>
      <c r="F76" s="167" t="s">
        <v>387</v>
      </c>
      <c r="G76" s="167">
        <v>1158184706</v>
      </c>
      <c r="H76" s="168">
        <v>39414</v>
      </c>
      <c r="I76" s="167" t="s">
        <v>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2"/>
  <sheetViews>
    <sheetView tabSelected="1" workbookViewId="0">
      <selection activeCell="H17" sqref="H17"/>
    </sheetView>
  </sheetViews>
  <sheetFormatPr baseColWidth="10" defaultRowHeight="14.4"/>
  <cols>
    <col min="2" max="2" width="26" bestFit="1" customWidth="1"/>
    <col min="5" max="5" width="21.6640625" bestFit="1" customWidth="1"/>
  </cols>
  <sheetData>
    <row r="1" spans="2:10" ht="15" thickBot="1"/>
    <row r="2" spans="2:10">
      <c r="B2" s="234" t="s">
        <v>579</v>
      </c>
      <c r="C2" s="242"/>
      <c r="D2" s="243"/>
      <c r="E2" s="243" t="s">
        <v>554</v>
      </c>
      <c r="F2" s="495" t="s">
        <v>667</v>
      </c>
      <c r="G2" s="496"/>
      <c r="H2" s="496"/>
      <c r="I2" s="496"/>
      <c r="J2" s="497"/>
    </row>
    <row r="3" spans="2:10">
      <c r="B3" s="234" t="s">
        <v>549</v>
      </c>
      <c r="C3" s="234"/>
      <c r="D3" s="234" t="s">
        <v>556</v>
      </c>
      <c r="E3" s="478"/>
      <c r="F3" s="498"/>
      <c r="G3" s="499"/>
      <c r="H3" s="499"/>
      <c r="I3" s="499"/>
      <c r="J3" s="500"/>
    </row>
    <row r="4" spans="2:10" ht="15" thickBot="1">
      <c r="B4" s="234" t="s">
        <v>548</v>
      </c>
      <c r="C4" s="234"/>
      <c r="D4" s="234" t="s">
        <v>567</v>
      </c>
      <c r="E4" s="478"/>
      <c r="F4" s="501"/>
      <c r="G4" s="502"/>
      <c r="H4" s="502"/>
      <c r="I4" s="502"/>
      <c r="J4" s="503"/>
    </row>
    <row r="6" spans="2:10" ht="15" thickBot="1"/>
    <row r="7" spans="2:10" ht="16.2" thickBot="1">
      <c r="B7" s="421" t="s">
        <v>457</v>
      </c>
      <c r="C7" s="422">
        <v>97274</v>
      </c>
      <c r="D7" s="319" t="s">
        <v>613</v>
      </c>
      <c r="E7" s="319" t="s">
        <v>667</v>
      </c>
      <c r="F7" s="320" t="s">
        <v>583</v>
      </c>
      <c r="G7" s="320" t="s">
        <v>584</v>
      </c>
      <c r="H7" s="320" t="s">
        <v>585</v>
      </c>
      <c r="I7" s="320" t="s">
        <v>586</v>
      </c>
      <c r="J7" s="321" t="s">
        <v>590</v>
      </c>
    </row>
    <row r="8" spans="2:10">
      <c r="B8" s="351" t="s">
        <v>617</v>
      </c>
      <c r="C8" s="180" t="s">
        <v>498</v>
      </c>
      <c r="D8" s="308">
        <v>48637639</v>
      </c>
      <c r="E8" s="308" t="s">
        <v>101</v>
      </c>
      <c r="F8" s="308">
        <v>44</v>
      </c>
      <c r="G8" s="308">
        <v>44</v>
      </c>
      <c r="H8" s="308" t="s">
        <v>596</v>
      </c>
      <c r="I8" s="308" t="s">
        <v>596</v>
      </c>
      <c r="J8" s="309">
        <v>1136608302</v>
      </c>
    </row>
    <row r="9" spans="2:10" ht="15" thickBot="1">
      <c r="B9" s="352"/>
      <c r="C9" s="180" t="s">
        <v>498</v>
      </c>
      <c r="D9" s="180">
        <v>47556912</v>
      </c>
      <c r="E9" s="180" t="s">
        <v>110</v>
      </c>
      <c r="F9" s="180">
        <v>56</v>
      </c>
      <c r="G9" s="180">
        <v>45</v>
      </c>
      <c r="H9" s="180" t="s">
        <v>597</v>
      </c>
      <c r="I9" s="180" t="s">
        <v>597</v>
      </c>
      <c r="J9" s="186">
        <v>1158458479</v>
      </c>
    </row>
    <row r="10" spans="2:10" ht="15" thickBot="1">
      <c r="B10" s="317"/>
      <c r="C10" s="307"/>
      <c r="D10" s="319" t="s">
        <v>600</v>
      </c>
      <c r="E10" s="319"/>
      <c r="F10" s="320" t="s">
        <v>583</v>
      </c>
      <c r="G10" s="320" t="s">
        <v>584</v>
      </c>
      <c r="H10" s="320" t="s">
        <v>585</v>
      </c>
      <c r="I10" s="320" t="s">
        <v>586</v>
      </c>
      <c r="J10" s="321" t="s">
        <v>590</v>
      </c>
    </row>
    <row r="11" spans="2:10" ht="15" thickBot="1">
      <c r="B11" s="306"/>
      <c r="C11" s="307"/>
      <c r="D11" s="308"/>
      <c r="E11" s="308"/>
      <c r="F11" s="308"/>
      <c r="G11" s="308"/>
      <c r="H11" s="308"/>
      <c r="I11" s="308"/>
      <c r="J11" s="309"/>
    </row>
    <row r="12" spans="2:10" ht="15" thickBot="1">
      <c r="B12" s="188"/>
      <c r="C12" s="302"/>
      <c r="D12" s="189"/>
      <c r="E12" s="189"/>
      <c r="F12" s="189"/>
      <c r="G12" s="189"/>
      <c r="H12" s="189"/>
      <c r="I12" s="189"/>
      <c r="J12" s="190"/>
    </row>
  </sheetData>
  <mergeCells count="1">
    <mergeCell ref="F2:J4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J11"/>
  <sheetViews>
    <sheetView workbookViewId="0">
      <selection activeCell="B5" sqref="B5:E8"/>
    </sheetView>
  </sheetViews>
  <sheetFormatPr baseColWidth="10" defaultRowHeight="14.4"/>
  <cols>
    <col min="2" max="2" width="14.109375" bestFit="1" customWidth="1"/>
    <col min="3" max="3" width="21.77734375" bestFit="1" customWidth="1"/>
  </cols>
  <sheetData>
    <row r="5" spans="2:10" ht="15" thickBot="1">
      <c r="B5" t="s">
        <v>681</v>
      </c>
    </row>
    <row r="6" spans="2:10" ht="21.6" thickBot="1">
      <c r="B6" s="421" t="s">
        <v>457</v>
      </c>
      <c r="C6" s="423">
        <v>97276</v>
      </c>
      <c r="D6" s="318" t="s">
        <v>613</v>
      </c>
      <c r="E6" s="319"/>
      <c r="F6" s="320" t="s">
        <v>583</v>
      </c>
      <c r="G6" s="320" t="s">
        <v>584</v>
      </c>
      <c r="H6" s="320" t="s">
        <v>585</v>
      </c>
      <c r="I6" s="320" t="s">
        <v>586</v>
      </c>
      <c r="J6" s="321" t="s">
        <v>590</v>
      </c>
    </row>
    <row r="7" spans="2:10">
      <c r="B7" s="351" t="s">
        <v>617</v>
      </c>
      <c r="C7" s="312" t="s">
        <v>107</v>
      </c>
      <c r="D7" s="316">
        <v>48372690</v>
      </c>
      <c r="E7" s="308" t="s">
        <v>498</v>
      </c>
      <c r="F7" s="308"/>
      <c r="G7" s="308"/>
      <c r="H7" s="308"/>
      <c r="I7" s="308"/>
      <c r="J7" s="309"/>
    </row>
    <row r="8" spans="2:10" ht="15" thickBot="1">
      <c r="B8" s="352"/>
      <c r="C8" s="50" t="s">
        <v>104</v>
      </c>
      <c r="D8" s="301">
        <v>46280616</v>
      </c>
      <c r="E8" s="180" t="s">
        <v>498</v>
      </c>
      <c r="F8" s="180"/>
      <c r="G8" s="180"/>
      <c r="H8" s="180"/>
      <c r="I8" s="180"/>
      <c r="J8" s="186"/>
    </row>
    <row r="9" spans="2:10" ht="15" thickBot="1">
      <c r="B9" s="317"/>
      <c r="C9" s="307"/>
      <c r="D9" s="353" t="s">
        <v>600</v>
      </c>
      <c r="E9" s="353"/>
      <c r="F9" s="320" t="s">
        <v>583</v>
      </c>
      <c r="G9" s="320" t="s">
        <v>584</v>
      </c>
      <c r="H9" s="320" t="s">
        <v>585</v>
      </c>
      <c r="I9" s="320" t="s">
        <v>586</v>
      </c>
      <c r="J9" s="321" t="s">
        <v>590</v>
      </c>
    </row>
    <row r="10" spans="2:10" ht="15" thickBot="1">
      <c r="B10" s="306"/>
      <c r="C10" s="307"/>
      <c r="D10" s="308"/>
      <c r="E10" s="308"/>
      <c r="F10" s="308"/>
      <c r="G10" s="308"/>
      <c r="H10" s="308"/>
      <c r="I10" s="308"/>
      <c r="J10" s="309"/>
    </row>
    <row r="11" spans="2:10" ht="15" thickBot="1">
      <c r="B11" s="188"/>
      <c r="C11" s="302"/>
      <c r="D11" s="189"/>
      <c r="E11" s="189"/>
      <c r="F11" s="189"/>
      <c r="G11" s="189"/>
      <c r="H11" s="189"/>
      <c r="I11" s="189"/>
      <c r="J11" s="19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8"/>
  <sheetViews>
    <sheetView workbookViewId="0">
      <selection activeCell="B10" sqref="B10:K12"/>
    </sheetView>
  </sheetViews>
  <sheetFormatPr baseColWidth="10" defaultRowHeight="14.4"/>
  <cols>
    <col min="2" max="2" width="38.6640625" bestFit="1" customWidth="1"/>
    <col min="4" max="4" width="14" bestFit="1" customWidth="1"/>
    <col min="5" max="5" width="20.109375" bestFit="1" customWidth="1"/>
    <col min="11" max="11" width="11" bestFit="1" customWidth="1"/>
  </cols>
  <sheetData>
    <row r="1" spans="2:11" s="216" customFormat="1" ht="15" thickBot="1"/>
    <row r="2" spans="2:11" ht="15" thickBot="1">
      <c r="B2" s="504" t="s">
        <v>577</v>
      </c>
      <c r="C2" s="505"/>
      <c r="D2" s="505"/>
      <c r="E2" s="506"/>
    </row>
    <row r="3" spans="2:11">
      <c r="B3" s="217" t="s">
        <v>536</v>
      </c>
      <c r="C3" s="224"/>
      <c r="D3" s="278" t="s">
        <v>537</v>
      </c>
      <c r="E3" s="218"/>
    </row>
    <row r="4" spans="2:11">
      <c r="B4" s="226" t="s">
        <v>557</v>
      </c>
      <c r="C4" s="221"/>
      <c r="D4" s="239"/>
      <c r="E4" s="227" t="s">
        <v>561</v>
      </c>
    </row>
    <row r="5" spans="2:11">
      <c r="B5" s="226" t="s">
        <v>548</v>
      </c>
      <c r="C5" s="221"/>
      <c r="D5" s="239"/>
      <c r="E5" s="227" t="s">
        <v>560</v>
      </c>
    </row>
    <row r="6" spans="2:11" ht="15" thickBot="1">
      <c r="B6" s="219" t="s">
        <v>558</v>
      </c>
      <c r="C6" s="225"/>
      <c r="D6" s="223"/>
      <c r="E6" s="220" t="s">
        <v>559</v>
      </c>
    </row>
    <row r="7" spans="2:11" ht="15" thickBot="1"/>
    <row r="8" spans="2:11" ht="15" thickBot="1">
      <c r="B8" s="424" t="s">
        <v>457</v>
      </c>
      <c r="C8" s="425">
        <v>97281</v>
      </c>
    </row>
    <row r="9" spans="2:11" ht="15" thickBot="1"/>
    <row r="10" spans="2:11" ht="15" thickBot="1">
      <c r="B10" s="381" t="s">
        <v>679</v>
      </c>
      <c r="C10" s="382" t="s">
        <v>680</v>
      </c>
      <c r="D10" s="383"/>
      <c r="E10" s="360" t="s">
        <v>613</v>
      </c>
      <c r="F10" s="360"/>
      <c r="G10" s="361" t="s">
        <v>583</v>
      </c>
      <c r="H10" s="361" t="s">
        <v>584</v>
      </c>
      <c r="I10" s="361" t="s">
        <v>585</v>
      </c>
      <c r="J10" s="361" t="s">
        <v>586</v>
      </c>
      <c r="K10" s="362" t="s">
        <v>590</v>
      </c>
    </row>
    <row r="11" spans="2:11">
      <c r="B11" s="384" t="s">
        <v>222</v>
      </c>
      <c r="C11" s="385" t="s">
        <v>502</v>
      </c>
      <c r="D11" s="386" t="s">
        <v>633</v>
      </c>
      <c r="E11" s="387"/>
      <c r="F11" s="387"/>
      <c r="G11" s="387">
        <v>42</v>
      </c>
      <c r="H11" s="387">
        <v>42</v>
      </c>
      <c r="I11" s="387" t="s">
        <v>588</v>
      </c>
      <c r="J11" s="387" t="s">
        <v>595</v>
      </c>
      <c r="K11" s="388">
        <v>1128239387</v>
      </c>
    </row>
    <row r="12" spans="2:11" ht="15" thickBot="1">
      <c r="B12" s="384" t="s">
        <v>242</v>
      </c>
      <c r="C12" s="385" t="s">
        <v>502</v>
      </c>
      <c r="D12" s="389" t="s">
        <v>243</v>
      </c>
      <c r="E12" s="390"/>
      <c r="F12" s="390"/>
      <c r="G12" s="390">
        <v>40</v>
      </c>
      <c r="H12" s="390">
        <v>442</v>
      </c>
      <c r="I12" s="390" t="s">
        <v>588</v>
      </c>
      <c r="J12" s="390" t="s">
        <v>588</v>
      </c>
      <c r="K12" s="391">
        <v>1170090782</v>
      </c>
    </row>
    <row r="13" spans="2:11" ht="15" thickBot="1">
      <c r="B13" s="392"/>
      <c r="C13" s="393"/>
      <c r="D13" s="394"/>
      <c r="E13" s="395" t="s">
        <v>600</v>
      </c>
      <c r="F13" s="395"/>
      <c r="G13" s="396" t="s">
        <v>583</v>
      </c>
      <c r="H13" s="396" t="s">
        <v>584</v>
      </c>
      <c r="I13" s="396" t="s">
        <v>585</v>
      </c>
      <c r="J13" s="396" t="s">
        <v>586</v>
      </c>
      <c r="K13" s="397" t="s">
        <v>590</v>
      </c>
    </row>
    <row r="14" spans="2:11">
      <c r="B14" s="398" t="s">
        <v>236</v>
      </c>
      <c r="C14" s="399" t="s">
        <v>502</v>
      </c>
      <c r="D14" s="400">
        <v>48495534</v>
      </c>
      <c r="E14" s="401"/>
      <c r="F14" s="401"/>
      <c r="G14" s="401">
        <v>50</v>
      </c>
      <c r="H14" s="401">
        <v>45</v>
      </c>
      <c r="I14" s="401" t="s">
        <v>596</v>
      </c>
      <c r="J14" s="401" t="s">
        <v>596</v>
      </c>
      <c r="K14" s="402">
        <v>1126199141</v>
      </c>
    </row>
    <row r="15" spans="2:11" ht="15" thickBot="1">
      <c r="B15" s="398" t="s">
        <v>188</v>
      </c>
      <c r="C15" s="399" t="s">
        <v>502</v>
      </c>
      <c r="D15" s="403">
        <v>95019069</v>
      </c>
      <c r="E15" s="404"/>
      <c r="F15" s="404"/>
      <c r="G15" s="404">
        <v>42</v>
      </c>
      <c r="H15" s="404">
        <v>43</v>
      </c>
      <c r="I15" s="404" t="s">
        <v>588</v>
      </c>
      <c r="J15" s="404" t="s">
        <v>588</v>
      </c>
      <c r="K15" s="405">
        <v>1164636088</v>
      </c>
    </row>
    <row r="16" spans="2:11" ht="15" thickBot="1">
      <c r="B16" s="406"/>
      <c r="C16" s="407"/>
      <c r="D16" s="408"/>
      <c r="E16" s="409" t="s">
        <v>637</v>
      </c>
      <c r="F16" s="409"/>
      <c r="G16" s="410" t="s">
        <v>583</v>
      </c>
      <c r="H16" s="410" t="s">
        <v>584</v>
      </c>
      <c r="I16" s="410" t="s">
        <v>585</v>
      </c>
      <c r="J16" s="410" t="s">
        <v>586</v>
      </c>
      <c r="K16" s="411" t="s">
        <v>590</v>
      </c>
    </row>
    <row r="17" spans="2:11">
      <c r="B17" s="412" t="s">
        <v>227</v>
      </c>
      <c r="C17" s="413" t="s">
        <v>502</v>
      </c>
      <c r="D17" s="414">
        <v>48244637</v>
      </c>
      <c r="E17" s="415"/>
      <c r="F17" s="415"/>
      <c r="G17" s="415">
        <v>50</v>
      </c>
      <c r="H17" s="415">
        <v>45</v>
      </c>
      <c r="I17" s="415" t="s">
        <v>596</v>
      </c>
      <c r="J17" s="415" t="s">
        <v>596</v>
      </c>
      <c r="K17" s="416">
        <v>1165923206</v>
      </c>
    </row>
    <row r="18" spans="2:11">
      <c r="B18" s="412" t="s">
        <v>100</v>
      </c>
      <c r="C18" s="413" t="s">
        <v>502</v>
      </c>
      <c r="D18" s="417">
        <v>48637613</v>
      </c>
      <c r="E18" s="418"/>
      <c r="F18" s="418"/>
      <c r="G18" s="418">
        <v>38</v>
      </c>
      <c r="H18" s="418">
        <v>41</v>
      </c>
      <c r="I18" s="418" t="s">
        <v>588</v>
      </c>
      <c r="J18" s="418" t="s">
        <v>588</v>
      </c>
      <c r="K18" s="419">
        <v>1151104881</v>
      </c>
    </row>
  </sheetData>
  <mergeCells count="1">
    <mergeCell ref="B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6"/>
  <sheetViews>
    <sheetView workbookViewId="0">
      <selection activeCell="E4" sqref="E4:L7"/>
    </sheetView>
  </sheetViews>
  <sheetFormatPr baseColWidth="10" defaultRowHeight="14.4"/>
  <cols>
    <col min="4" max="4" width="20.109375" bestFit="1" customWidth="1"/>
    <col min="5" max="5" width="4.5546875" style="286" customWidth="1"/>
    <col min="6" max="6" width="29.77734375" bestFit="1" customWidth="1"/>
    <col min="7" max="7" width="24.44140625" style="228" customWidth="1"/>
    <col min="12" max="12" width="17.88671875" customWidth="1"/>
    <col min="13" max="13" width="29.77734375" bestFit="1" customWidth="1"/>
    <col min="14" max="14" width="13.109375" bestFit="1" customWidth="1"/>
  </cols>
  <sheetData>
    <row r="1" spans="2:14" s="216" customFormat="1" ht="15" thickBot="1">
      <c r="E1" s="286"/>
      <c r="G1" s="228"/>
    </row>
    <row r="2" spans="2:14" ht="15" thickBot="1">
      <c r="B2" s="507" t="s">
        <v>581</v>
      </c>
      <c r="C2" s="508"/>
      <c r="D2" s="509"/>
      <c r="E2" s="292"/>
    </row>
    <row r="3" spans="2:14" ht="21.6" thickBot="1">
      <c r="B3" s="217" t="s">
        <v>536</v>
      </c>
      <c r="C3" s="224"/>
      <c r="D3" s="218" t="s">
        <v>537</v>
      </c>
      <c r="E3" s="221"/>
      <c r="F3" s="426" t="s">
        <v>457</v>
      </c>
      <c r="G3" s="427">
        <v>97286</v>
      </c>
    </row>
    <row r="4" spans="2:14" ht="15" thickBot="1">
      <c r="B4" s="226" t="s">
        <v>530</v>
      </c>
      <c r="C4" s="221"/>
      <c r="D4" s="227" t="s">
        <v>539</v>
      </c>
      <c r="E4" s="221"/>
      <c r="F4" t="s">
        <v>618</v>
      </c>
      <c r="G4" s="221" t="s">
        <v>678</v>
      </c>
    </row>
    <row r="5" spans="2:14" ht="15" thickBot="1">
      <c r="B5" s="219" t="s">
        <v>548</v>
      </c>
      <c r="C5" s="225"/>
      <c r="D5" s="225" t="s">
        <v>560</v>
      </c>
      <c r="E5" s="369"/>
      <c r="F5" s="370" t="s">
        <v>536</v>
      </c>
      <c r="G5" s="371" t="s">
        <v>647</v>
      </c>
      <c r="H5" s="371" t="s">
        <v>583</v>
      </c>
      <c r="I5" s="371" t="s">
        <v>584</v>
      </c>
      <c r="J5" s="371" t="s">
        <v>585</v>
      </c>
      <c r="K5" s="371" t="s">
        <v>586</v>
      </c>
      <c r="L5" s="372"/>
      <c r="M5" s="293" t="s">
        <v>600</v>
      </c>
    </row>
    <row r="6" spans="2:14">
      <c r="E6" s="185" t="s">
        <v>593</v>
      </c>
      <c r="F6" s="180" t="s">
        <v>599</v>
      </c>
      <c r="G6" s="287" t="s">
        <v>149</v>
      </c>
      <c r="H6" s="287">
        <v>40</v>
      </c>
      <c r="I6" s="287">
        <v>37</v>
      </c>
      <c r="J6" s="287" t="s">
        <v>595</v>
      </c>
      <c r="K6" s="287" t="s">
        <v>595</v>
      </c>
      <c r="L6" s="363">
        <v>1166570089</v>
      </c>
      <c r="M6" s="228" t="s">
        <v>155</v>
      </c>
      <c r="N6" s="228" t="s">
        <v>156</v>
      </c>
    </row>
    <row r="7" spans="2:14" ht="15" thickBot="1">
      <c r="E7" s="188" t="s">
        <v>593</v>
      </c>
      <c r="F7" s="189" t="s">
        <v>197</v>
      </c>
      <c r="G7" s="310" t="s">
        <v>616</v>
      </c>
      <c r="H7" s="310">
        <v>46</v>
      </c>
      <c r="I7" s="310">
        <v>43</v>
      </c>
      <c r="J7" s="310" t="s">
        <v>592</v>
      </c>
      <c r="K7" s="310" t="s">
        <v>592</v>
      </c>
      <c r="L7" s="364">
        <v>1127319928</v>
      </c>
      <c r="M7" t="s">
        <v>608</v>
      </c>
    </row>
    <row r="8" spans="2:14">
      <c r="E8" s="369"/>
      <c r="F8" s="370" t="s">
        <v>536</v>
      </c>
      <c r="G8" s="371" t="s">
        <v>648</v>
      </c>
      <c r="H8" s="371" t="s">
        <v>583</v>
      </c>
      <c r="I8" s="371" t="s">
        <v>584</v>
      </c>
      <c r="J8" s="371" t="s">
        <v>585</v>
      </c>
      <c r="K8" s="371" t="s">
        <v>586</v>
      </c>
      <c r="L8" s="372"/>
    </row>
    <row r="9" spans="2:14">
      <c r="E9" s="185" t="s">
        <v>593</v>
      </c>
      <c r="F9" s="180" t="s">
        <v>155</v>
      </c>
      <c r="G9" s="35" t="s">
        <v>156</v>
      </c>
      <c r="H9" s="287">
        <v>42</v>
      </c>
      <c r="I9" s="287">
        <v>42</v>
      </c>
      <c r="J9" s="287">
        <v>4</v>
      </c>
      <c r="K9" s="287">
        <v>3</v>
      </c>
      <c r="L9" s="363">
        <v>1124517894</v>
      </c>
    </row>
    <row r="10" spans="2:14" ht="15" thickBot="1">
      <c r="E10" s="188" t="s">
        <v>498</v>
      </c>
      <c r="F10" s="180" t="s">
        <v>82</v>
      </c>
      <c r="G10" s="310">
        <v>49056979</v>
      </c>
      <c r="H10" s="180">
        <v>38</v>
      </c>
      <c r="I10" s="180">
        <v>36</v>
      </c>
      <c r="J10" s="180" t="s">
        <v>588</v>
      </c>
      <c r="K10" s="180" t="s">
        <v>595</v>
      </c>
      <c r="L10" s="364">
        <v>1140434955</v>
      </c>
    </row>
    <row r="11" spans="2:14">
      <c r="E11" s="369"/>
      <c r="F11" s="373" t="s">
        <v>536</v>
      </c>
      <c r="G11" s="371" t="s">
        <v>649</v>
      </c>
      <c r="H11" s="371" t="s">
        <v>583</v>
      </c>
      <c r="I11" s="371" t="s">
        <v>584</v>
      </c>
      <c r="J11" s="371" t="s">
        <v>585</v>
      </c>
      <c r="K11" s="371" t="s">
        <v>586</v>
      </c>
      <c r="L11" s="372"/>
    </row>
    <row r="12" spans="2:14">
      <c r="E12" s="185" t="s">
        <v>593</v>
      </c>
      <c r="F12" s="180" t="s">
        <v>89</v>
      </c>
      <c r="G12" s="287">
        <v>48239995</v>
      </c>
      <c r="H12" s="287">
        <v>40</v>
      </c>
      <c r="I12" s="287">
        <v>40</v>
      </c>
      <c r="J12" s="287" t="s">
        <v>588</v>
      </c>
      <c r="K12" s="287" t="s">
        <v>588</v>
      </c>
      <c r="L12" s="363">
        <v>1134958337</v>
      </c>
    </row>
    <row r="13" spans="2:14" ht="15" thickBot="1">
      <c r="E13" s="188" t="s">
        <v>593</v>
      </c>
      <c r="F13" s="189" t="s">
        <v>212</v>
      </c>
      <c r="G13" s="310">
        <v>48445588</v>
      </c>
      <c r="H13" s="310">
        <v>40</v>
      </c>
      <c r="I13" s="310">
        <v>40</v>
      </c>
      <c r="J13" s="310" t="s">
        <v>595</v>
      </c>
      <c r="K13" s="310" t="s">
        <v>595</v>
      </c>
      <c r="L13" s="364">
        <v>1132632770</v>
      </c>
    </row>
    <row r="16" spans="2:14">
      <c r="F16" t="s">
        <v>660</v>
      </c>
    </row>
  </sheetData>
  <mergeCells count="1">
    <mergeCell ref="B2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4"/>
  <sheetViews>
    <sheetView workbookViewId="0">
      <selection activeCell="E5" sqref="E5:L8"/>
    </sheetView>
  </sheetViews>
  <sheetFormatPr baseColWidth="10" defaultRowHeight="14.4"/>
  <cols>
    <col min="2" max="2" width="23.5546875" bestFit="1" customWidth="1"/>
    <col min="3" max="3" width="4.33203125" customWidth="1"/>
    <col min="4" max="4" width="20.109375" bestFit="1" customWidth="1"/>
    <col min="5" max="5" width="28.44140625" bestFit="1" customWidth="1"/>
    <col min="7" max="7" width="13.109375" bestFit="1" customWidth="1"/>
    <col min="8" max="8" width="8.88671875" bestFit="1" customWidth="1"/>
    <col min="9" max="9" width="26.5546875" bestFit="1" customWidth="1"/>
  </cols>
  <sheetData>
    <row r="1" spans="2:12" s="216" customFormat="1" ht="15" thickBot="1"/>
    <row r="2" spans="2:12" ht="15" thickBot="1">
      <c r="B2" s="507" t="s">
        <v>580</v>
      </c>
      <c r="C2" s="508"/>
      <c r="D2" s="509"/>
      <c r="E2" s="447"/>
      <c r="F2" s="447"/>
      <c r="G2" s="447"/>
      <c r="H2" s="447"/>
      <c r="I2" s="447"/>
      <c r="J2" s="447"/>
      <c r="K2" s="447"/>
      <c r="L2" s="11"/>
    </row>
    <row r="3" spans="2:12">
      <c r="B3" s="226" t="s">
        <v>536</v>
      </c>
      <c r="C3" s="221"/>
      <c r="D3" s="227" t="s">
        <v>537</v>
      </c>
      <c r="E3" s="240"/>
      <c r="F3" s="240"/>
      <c r="G3" s="240"/>
      <c r="H3" s="240"/>
      <c r="I3" s="240"/>
      <c r="J3" s="240"/>
      <c r="K3" s="240"/>
      <c r="L3" s="12"/>
    </row>
    <row r="4" spans="2:12" ht="15" thickBot="1">
      <c r="B4" s="226" t="s">
        <v>530</v>
      </c>
      <c r="C4" s="221"/>
      <c r="D4" s="227" t="s">
        <v>539</v>
      </c>
      <c r="E4" s="240"/>
      <c r="F4" s="240"/>
      <c r="G4" s="240"/>
      <c r="H4" s="240"/>
      <c r="I4" s="240"/>
      <c r="J4" s="240"/>
      <c r="K4" s="240"/>
      <c r="L4" s="12"/>
    </row>
    <row r="5" spans="2:12" ht="16.2" thickBot="1">
      <c r="B5" s="219" t="s">
        <v>548</v>
      </c>
      <c r="C5" s="225"/>
      <c r="D5" s="220" t="s">
        <v>560</v>
      </c>
      <c r="E5" s="431" t="s">
        <v>457</v>
      </c>
      <c r="F5" s="432">
        <v>97300</v>
      </c>
      <c r="G5" s="507" t="s">
        <v>580</v>
      </c>
      <c r="H5" s="508"/>
      <c r="I5" s="508"/>
      <c r="J5" s="508"/>
      <c r="K5" s="508"/>
      <c r="L5" s="509"/>
    </row>
    <row r="6" spans="2:12">
      <c r="B6" s="231"/>
      <c r="C6" s="240"/>
      <c r="D6" s="240"/>
      <c r="E6" s="355" t="s">
        <v>615</v>
      </c>
      <c r="F6" s="296"/>
      <c r="G6" s="296"/>
      <c r="H6" s="297" t="s">
        <v>583</v>
      </c>
      <c r="I6" s="297" t="s">
        <v>584</v>
      </c>
      <c r="J6" s="297" t="s">
        <v>585</v>
      </c>
      <c r="K6" s="297" t="s">
        <v>586</v>
      </c>
      <c r="L6" s="303" t="s">
        <v>590</v>
      </c>
    </row>
    <row r="7" spans="2:12">
      <c r="B7" s="231"/>
      <c r="C7" s="240"/>
      <c r="D7" s="240"/>
      <c r="E7" s="185" t="s">
        <v>82</v>
      </c>
      <c r="F7" s="180" t="s">
        <v>498</v>
      </c>
      <c r="G7" s="180">
        <v>49056979</v>
      </c>
      <c r="H7" s="180">
        <v>38</v>
      </c>
      <c r="I7" s="180">
        <v>36</v>
      </c>
      <c r="J7" s="180" t="s">
        <v>588</v>
      </c>
      <c r="K7" s="180" t="s">
        <v>595</v>
      </c>
      <c r="L7" s="186">
        <v>1140434955</v>
      </c>
    </row>
    <row r="8" spans="2:12" ht="15" thickBot="1">
      <c r="B8" s="231"/>
      <c r="C8" s="240"/>
      <c r="D8" s="240"/>
      <c r="E8" s="188" t="s">
        <v>92</v>
      </c>
      <c r="F8" s="189" t="s">
        <v>498</v>
      </c>
      <c r="G8" s="189">
        <v>48637710</v>
      </c>
      <c r="H8" s="189">
        <v>42</v>
      </c>
      <c r="I8" s="189">
        <v>42</v>
      </c>
      <c r="J8" s="189" t="s">
        <v>588</v>
      </c>
      <c r="K8" s="189" t="s">
        <v>588</v>
      </c>
      <c r="L8" s="190">
        <v>1165727907</v>
      </c>
    </row>
    <row r="9" spans="2:12">
      <c r="B9" s="231"/>
      <c r="C9" s="240"/>
      <c r="D9" s="240"/>
      <c r="E9" s="355" t="s">
        <v>614</v>
      </c>
      <c r="F9" s="296"/>
      <c r="G9" s="296"/>
      <c r="H9" s="297" t="s">
        <v>583</v>
      </c>
      <c r="I9" s="297" t="s">
        <v>584</v>
      </c>
      <c r="J9" s="297" t="s">
        <v>585</v>
      </c>
      <c r="K9" s="297" t="s">
        <v>586</v>
      </c>
      <c r="L9" s="303" t="s">
        <v>590</v>
      </c>
    </row>
    <row r="10" spans="2:12">
      <c r="B10" s="231"/>
      <c r="C10" s="240"/>
      <c r="D10" s="240"/>
      <c r="E10" s="356" t="s">
        <v>30</v>
      </c>
      <c r="F10" s="185" t="s">
        <v>498</v>
      </c>
      <c r="G10" s="180">
        <v>48291340</v>
      </c>
      <c r="H10" s="180">
        <v>40</v>
      </c>
      <c r="I10" s="180">
        <v>43</v>
      </c>
      <c r="J10" s="180" t="s">
        <v>596</v>
      </c>
      <c r="K10" s="180" t="s">
        <v>597</v>
      </c>
      <c r="L10" s="186">
        <v>1138585760</v>
      </c>
    </row>
    <row r="11" spans="2:12" ht="15" thickBot="1">
      <c r="B11" s="231"/>
      <c r="C11" s="240"/>
      <c r="D11" s="240"/>
      <c r="E11" s="188" t="s">
        <v>176</v>
      </c>
      <c r="F11" s="189" t="s">
        <v>502</v>
      </c>
      <c r="G11" s="189" t="s">
        <v>177</v>
      </c>
      <c r="H11" s="189">
        <v>38</v>
      </c>
      <c r="I11" s="189">
        <v>38</v>
      </c>
      <c r="J11" s="189" t="s">
        <v>588</v>
      </c>
      <c r="K11" s="189" t="s">
        <v>588</v>
      </c>
      <c r="L11" s="190">
        <v>1134474319</v>
      </c>
    </row>
    <row r="12" spans="2:12">
      <c r="B12" s="231"/>
      <c r="C12" s="240"/>
      <c r="D12" s="240"/>
      <c r="E12" s="355" t="s">
        <v>639</v>
      </c>
      <c r="F12" s="296"/>
      <c r="G12" s="296"/>
      <c r="H12" s="297" t="s">
        <v>583</v>
      </c>
      <c r="I12" s="297" t="s">
        <v>584</v>
      </c>
      <c r="J12" s="297" t="s">
        <v>585</v>
      </c>
      <c r="K12" s="297" t="s">
        <v>586</v>
      </c>
      <c r="L12" s="303" t="s">
        <v>590</v>
      </c>
    </row>
    <row r="13" spans="2:12">
      <c r="B13" s="231"/>
      <c r="C13" s="240"/>
      <c r="D13" s="240"/>
      <c r="E13" s="231" t="s">
        <v>148</v>
      </c>
      <c r="F13" s="185" t="s">
        <v>502</v>
      </c>
      <c r="G13" s="180">
        <v>48437094</v>
      </c>
      <c r="H13" s="180">
        <v>40</v>
      </c>
      <c r="I13" s="180">
        <v>37</v>
      </c>
      <c r="J13" s="180" t="s">
        <v>595</v>
      </c>
      <c r="K13" s="180" t="s">
        <v>595</v>
      </c>
      <c r="L13" s="186">
        <v>1166570089</v>
      </c>
    </row>
    <row r="14" spans="2:12" ht="15" thickBot="1">
      <c r="B14" s="475"/>
      <c r="C14" s="232"/>
      <c r="D14" s="232"/>
      <c r="E14" s="188" t="s">
        <v>197</v>
      </c>
      <c r="F14" s="189" t="s">
        <v>502</v>
      </c>
      <c r="G14" s="189">
        <v>48442837</v>
      </c>
      <c r="H14" s="189">
        <v>50</v>
      </c>
      <c r="I14" s="189">
        <v>43</v>
      </c>
      <c r="J14" s="189" t="s">
        <v>597</v>
      </c>
      <c r="K14" s="189" t="s">
        <v>597</v>
      </c>
      <c r="L14" s="190">
        <v>1127319928</v>
      </c>
    </row>
  </sheetData>
  <mergeCells count="2">
    <mergeCell ref="B2:D2"/>
    <mergeCell ref="G5:L5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7"/>
  <sheetViews>
    <sheetView topLeftCell="C1" workbookViewId="0">
      <selection activeCell="I8" sqref="I8:P11"/>
    </sheetView>
  </sheetViews>
  <sheetFormatPr baseColWidth="10" defaultRowHeight="14.4"/>
  <cols>
    <col min="2" max="2" width="20.109375" bestFit="1" customWidth="1"/>
    <col min="3" max="3" width="15.109375" bestFit="1" customWidth="1"/>
    <col min="4" max="4" width="3.6640625" customWidth="1"/>
    <col min="5" max="5" width="20.109375" bestFit="1" customWidth="1"/>
    <col min="6" max="6" width="15.109375" bestFit="1" customWidth="1"/>
    <col min="7" max="7" width="4" customWidth="1"/>
    <col min="8" max="8" width="37" bestFit="1" customWidth="1"/>
    <col min="9" max="9" width="3.109375" bestFit="1" customWidth="1"/>
    <col min="10" max="10" width="9.109375" bestFit="1" customWidth="1"/>
    <col min="11" max="11" width="36" style="228" bestFit="1" customWidth="1"/>
    <col min="12" max="12" width="13.109375" style="3" bestFit="1" customWidth="1"/>
    <col min="13" max="13" width="8.21875" style="3" bestFit="1" customWidth="1"/>
    <col min="14" max="14" width="7.33203125" style="3" bestFit="1" customWidth="1"/>
    <col min="15" max="15" width="11" style="3" customWidth="1"/>
    <col min="16" max="16" width="6.88671875" style="3" bestFit="1" customWidth="1"/>
    <col min="18" max="18" width="14.88671875" bestFit="1" customWidth="1"/>
  </cols>
  <sheetData>
    <row r="1" spans="2:18" ht="15" thickBot="1"/>
    <row r="2" spans="2:18" ht="15" thickBot="1">
      <c r="B2" s="507" t="s">
        <v>571</v>
      </c>
      <c r="C2" s="508"/>
      <c r="D2" s="508"/>
      <c r="E2" s="508"/>
      <c r="F2" s="508"/>
      <c r="G2" s="508"/>
      <c r="H2" s="509"/>
    </row>
    <row r="3" spans="2:18" ht="15" thickBot="1">
      <c r="B3" s="226" t="s">
        <v>529</v>
      </c>
      <c r="C3" s="227" t="s">
        <v>530</v>
      </c>
      <c r="D3" s="240"/>
      <c r="E3" s="226" t="s">
        <v>529</v>
      </c>
      <c r="F3" s="227" t="s">
        <v>530</v>
      </c>
      <c r="G3" s="240"/>
      <c r="H3" s="239" t="s">
        <v>531</v>
      </c>
      <c r="J3" s="424" t="s">
        <v>457</v>
      </c>
      <c r="K3" s="425">
        <v>97293</v>
      </c>
      <c r="L3" s="3" t="s">
        <v>571</v>
      </c>
      <c r="R3" t="s">
        <v>601</v>
      </c>
    </row>
    <row r="4" spans="2:18" ht="15" thickBot="1">
      <c r="B4" s="219" t="s">
        <v>527</v>
      </c>
      <c r="C4" s="220" t="s">
        <v>527</v>
      </c>
      <c r="D4" s="232"/>
      <c r="E4" s="219" t="s">
        <v>528</v>
      </c>
      <c r="F4" s="220" t="s">
        <v>528</v>
      </c>
      <c r="G4" s="232"/>
      <c r="H4" s="219" t="s">
        <v>532</v>
      </c>
      <c r="I4" s="510" t="s">
        <v>641</v>
      </c>
      <c r="J4" s="511"/>
      <c r="K4" s="511"/>
      <c r="L4" s="512"/>
      <c r="M4" s="320" t="s">
        <v>583</v>
      </c>
      <c r="N4" s="320" t="s">
        <v>584</v>
      </c>
      <c r="O4" s="320" t="s">
        <v>585</v>
      </c>
      <c r="P4" s="366" t="s">
        <v>586</v>
      </c>
    </row>
    <row r="5" spans="2:18">
      <c r="H5" s="480"/>
      <c r="I5" s="295" t="s">
        <v>498</v>
      </c>
      <c r="J5" s="296" t="s">
        <v>587</v>
      </c>
      <c r="K5" s="186" t="s">
        <v>651</v>
      </c>
      <c r="L5" s="329"/>
      <c r="M5" s="326" t="s">
        <v>589</v>
      </c>
      <c r="N5" s="326">
        <v>42</v>
      </c>
      <c r="O5" s="326" t="s">
        <v>588</v>
      </c>
      <c r="P5" s="365" t="s">
        <v>588</v>
      </c>
      <c r="R5" s="288" t="s">
        <v>602</v>
      </c>
    </row>
    <row r="6" spans="2:18">
      <c r="H6" s="480"/>
      <c r="I6" s="185" t="s">
        <v>498</v>
      </c>
      <c r="J6" s="180" t="s">
        <v>587</v>
      </c>
      <c r="K6" s="186" t="s">
        <v>17</v>
      </c>
      <c r="L6" s="330"/>
      <c r="M6" s="287" t="s">
        <v>591</v>
      </c>
      <c r="N6" s="287">
        <v>42</v>
      </c>
      <c r="O6" s="287" t="s">
        <v>592</v>
      </c>
      <c r="P6" s="363" t="s">
        <v>592</v>
      </c>
      <c r="R6" s="288" t="s">
        <v>605</v>
      </c>
    </row>
    <row r="7" spans="2:18" ht="15" thickBot="1">
      <c r="H7" s="480"/>
      <c r="I7" s="185" t="s">
        <v>502</v>
      </c>
      <c r="J7" s="180" t="s">
        <v>587</v>
      </c>
      <c r="K7" s="186" t="s">
        <v>131</v>
      </c>
      <c r="L7" s="330"/>
      <c r="M7" s="287">
        <v>40</v>
      </c>
      <c r="N7" s="287">
        <v>40</v>
      </c>
      <c r="O7" s="287" t="s">
        <v>595</v>
      </c>
      <c r="P7" s="363" t="s">
        <v>595</v>
      </c>
    </row>
    <row r="8" spans="2:18" ht="15" thickBot="1">
      <c r="I8" s="479"/>
      <c r="J8" s="424" t="s">
        <v>457</v>
      </c>
      <c r="K8" s="425" t="s">
        <v>677</v>
      </c>
      <c r="L8" s="3" t="s">
        <v>571</v>
      </c>
      <c r="M8" s="287"/>
      <c r="N8" s="287"/>
      <c r="O8" s="287"/>
      <c r="P8" s="363"/>
    </row>
    <row r="9" spans="2:18">
      <c r="I9" s="185" t="s">
        <v>502</v>
      </c>
      <c r="J9" s="180" t="s">
        <v>594</v>
      </c>
      <c r="K9" s="186" t="s">
        <v>134</v>
      </c>
      <c r="L9" s="330" t="s">
        <v>135</v>
      </c>
      <c r="M9" s="287">
        <v>40</v>
      </c>
      <c r="N9" s="287">
        <v>40</v>
      </c>
      <c r="O9" s="287" t="s">
        <v>588</v>
      </c>
      <c r="P9" s="363" t="s">
        <v>588</v>
      </c>
    </row>
    <row r="10" spans="2:18">
      <c r="I10" s="185" t="s">
        <v>502</v>
      </c>
      <c r="J10" s="180" t="s">
        <v>594</v>
      </c>
      <c r="K10" s="186" t="s">
        <v>140</v>
      </c>
      <c r="L10" s="330" t="s">
        <v>141</v>
      </c>
      <c r="M10" s="287">
        <v>40</v>
      </c>
      <c r="N10" s="287">
        <v>40</v>
      </c>
      <c r="O10" s="287" t="s">
        <v>588</v>
      </c>
      <c r="P10" s="363" t="s">
        <v>588</v>
      </c>
    </row>
    <row r="11" spans="2:18" ht="15" thickBot="1">
      <c r="I11" s="188" t="s">
        <v>498</v>
      </c>
      <c r="J11" s="189" t="s">
        <v>594</v>
      </c>
      <c r="K11" s="190" t="s">
        <v>27</v>
      </c>
      <c r="L11" s="331">
        <v>48647749</v>
      </c>
      <c r="M11" s="310">
        <v>42</v>
      </c>
      <c r="N11" s="310">
        <v>43</v>
      </c>
      <c r="O11" s="310" t="s">
        <v>588</v>
      </c>
      <c r="P11" s="364" t="s">
        <v>588</v>
      </c>
    </row>
    <row r="12" spans="2:18" ht="15" thickBot="1">
      <c r="I12" s="510" t="s">
        <v>642</v>
      </c>
      <c r="J12" s="513"/>
      <c r="K12" s="513"/>
      <c r="L12" s="512"/>
      <c r="M12" s="320" t="s">
        <v>583</v>
      </c>
      <c r="N12" s="320" t="s">
        <v>584</v>
      </c>
      <c r="O12" s="320" t="s">
        <v>585</v>
      </c>
      <c r="P12" s="366" t="s">
        <v>586</v>
      </c>
    </row>
    <row r="13" spans="2:18" ht="15" thickBot="1">
      <c r="I13" s="295" t="s">
        <v>498</v>
      </c>
      <c r="J13" s="296" t="s">
        <v>594</v>
      </c>
      <c r="K13" s="374" t="s">
        <v>104</v>
      </c>
      <c r="L13" s="329">
        <v>46280616</v>
      </c>
      <c r="M13" s="326">
        <v>40</v>
      </c>
      <c r="N13" s="326">
        <v>41</v>
      </c>
      <c r="O13" s="326" t="s">
        <v>588</v>
      </c>
      <c r="P13" s="365" t="s">
        <v>588</v>
      </c>
    </row>
    <row r="14" spans="2:18" ht="15" thickBot="1">
      <c r="I14" s="295" t="s">
        <v>498</v>
      </c>
      <c r="J14" s="296" t="s">
        <v>594</v>
      </c>
      <c r="K14" s="180" t="s">
        <v>53</v>
      </c>
      <c r="L14" s="330">
        <v>48232596</v>
      </c>
      <c r="M14" s="180">
        <v>48</v>
      </c>
      <c r="N14" s="180">
        <v>44</v>
      </c>
      <c r="O14" s="180" t="s">
        <v>652</v>
      </c>
      <c r="P14" s="186" t="s">
        <v>596</v>
      </c>
    </row>
    <row r="15" spans="2:18" ht="15" thickBot="1">
      <c r="I15" s="295" t="s">
        <v>498</v>
      </c>
      <c r="J15" s="296" t="s">
        <v>594</v>
      </c>
      <c r="K15" s="186" t="s">
        <v>55</v>
      </c>
      <c r="L15" s="189">
        <v>47384119</v>
      </c>
      <c r="M15" s="189">
        <v>38</v>
      </c>
      <c r="N15" s="189">
        <v>45</v>
      </c>
      <c r="O15" s="189" t="s">
        <v>597</v>
      </c>
      <c r="P15" s="190" t="s">
        <v>597</v>
      </c>
    </row>
    <row r="16" spans="2:18" ht="15" thickBot="1">
      <c r="I16" s="185"/>
      <c r="J16" s="180"/>
      <c r="K16" s="186"/>
      <c r="L16" s="330"/>
      <c r="M16" s="287"/>
      <c r="N16" s="287"/>
      <c r="O16" s="287"/>
      <c r="P16" s="363"/>
    </row>
    <row r="17" spans="8:17">
      <c r="I17" s="185" t="s">
        <v>502</v>
      </c>
      <c r="J17" s="296" t="s">
        <v>587</v>
      </c>
      <c r="K17" s="186" t="s">
        <v>653</v>
      </c>
      <c r="L17" s="330"/>
      <c r="M17" s="287"/>
      <c r="N17" s="287"/>
      <c r="O17" s="287"/>
      <c r="P17" s="363"/>
    </row>
    <row r="18" spans="8:17">
      <c r="I18" s="185" t="s">
        <v>502</v>
      </c>
      <c r="J18" s="180" t="s">
        <v>587</v>
      </c>
      <c r="K18" s="186" t="s">
        <v>654</v>
      </c>
      <c r="L18" s="330"/>
      <c r="M18" s="287"/>
      <c r="N18" s="287"/>
      <c r="O18" s="287"/>
      <c r="P18" s="363"/>
    </row>
    <row r="19" spans="8:17" ht="15" thickBot="1">
      <c r="H19" s="480"/>
      <c r="I19" s="188" t="s">
        <v>502</v>
      </c>
      <c r="J19" s="180" t="s">
        <v>587</v>
      </c>
      <c r="K19" s="190" t="s">
        <v>200</v>
      </c>
      <c r="L19" s="331">
        <v>48428069</v>
      </c>
      <c r="M19" s="310">
        <v>44</v>
      </c>
      <c r="N19" s="310">
        <v>40</v>
      </c>
      <c r="O19" s="310" t="s">
        <v>588</v>
      </c>
      <c r="P19" s="364" t="s">
        <v>588</v>
      </c>
    </row>
    <row r="20" spans="8:17" ht="15" thickBot="1">
      <c r="I20" s="510" t="s">
        <v>643</v>
      </c>
      <c r="J20" s="513"/>
      <c r="K20" s="513"/>
      <c r="L20" s="512"/>
      <c r="M20" s="320" t="s">
        <v>583</v>
      </c>
      <c r="N20" s="320" t="s">
        <v>584</v>
      </c>
      <c r="O20" s="320" t="s">
        <v>585</v>
      </c>
      <c r="P20" s="366" t="s">
        <v>586</v>
      </c>
    </row>
    <row r="21" spans="8:17">
      <c r="H21" s="480"/>
      <c r="I21" s="295" t="s">
        <v>498</v>
      </c>
      <c r="J21" s="296" t="s">
        <v>587</v>
      </c>
      <c r="K21" s="303" t="s">
        <v>97</v>
      </c>
      <c r="L21" s="329">
        <v>46911524</v>
      </c>
      <c r="M21" s="326">
        <v>40</v>
      </c>
      <c r="N21" s="326">
        <v>38</v>
      </c>
      <c r="O21" s="326" t="s">
        <v>588</v>
      </c>
      <c r="P21" s="365" t="s">
        <v>588</v>
      </c>
    </row>
    <row r="22" spans="8:17">
      <c r="H22" s="480"/>
      <c r="I22" s="185" t="s">
        <v>498</v>
      </c>
      <c r="J22" s="180" t="s">
        <v>587</v>
      </c>
      <c r="K22" s="186" t="s">
        <v>79</v>
      </c>
      <c r="L22" s="330">
        <v>47203776</v>
      </c>
      <c r="M22" s="287">
        <v>39</v>
      </c>
      <c r="N22" s="287">
        <v>40</v>
      </c>
      <c r="O22" s="287" t="s">
        <v>595</v>
      </c>
      <c r="P22" s="363" t="s">
        <v>595</v>
      </c>
    </row>
    <row r="23" spans="8:17">
      <c r="H23" s="480"/>
      <c r="I23" s="185" t="s">
        <v>502</v>
      </c>
      <c r="J23" s="180" t="s">
        <v>587</v>
      </c>
      <c r="K23" s="22" t="s">
        <v>206</v>
      </c>
      <c r="L23" s="330"/>
      <c r="M23" s="287"/>
      <c r="N23" s="287"/>
      <c r="O23" s="287"/>
      <c r="P23" s="363"/>
    </row>
    <row r="24" spans="8:17">
      <c r="I24" s="185"/>
      <c r="J24" s="180"/>
      <c r="L24" s="330"/>
      <c r="M24" s="287"/>
      <c r="N24" s="287"/>
      <c r="O24" s="287"/>
      <c r="P24" s="363"/>
    </row>
    <row r="25" spans="8:17">
      <c r="I25" s="185" t="s">
        <v>502</v>
      </c>
      <c r="J25" s="180" t="s">
        <v>594</v>
      </c>
      <c r="K25" s="22" t="s">
        <v>203</v>
      </c>
      <c r="L25" s="330"/>
      <c r="M25" s="287"/>
      <c r="N25" s="287"/>
      <c r="O25" s="287"/>
      <c r="P25" s="363"/>
    </row>
    <row r="26" spans="8:17">
      <c r="I26" s="185" t="s">
        <v>502</v>
      </c>
      <c r="J26" s="180" t="s">
        <v>594</v>
      </c>
      <c r="K26" s="186" t="s">
        <v>94</v>
      </c>
      <c r="L26" s="330"/>
      <c r="M26" s="287"/>
      <c r="N26" s="287"/>
      <c r="O26" s="287"/>
      <c r="P26" s="363"/>
    </row>
    <row r="27" spans="8:17" ht="15" thickBot="1">
      <c r="I27" s="188" t="s">
        <v>498</v>
      </c>
      <c r="J27" s="189" t="s">
        <v>594</v>
      </c>
      <c r="K27" s="190" t="s">
        <v>77</v>
      </c>
      <c r="L27" s="331">
        <v>48576051</v>
      </c>
      <c r="M27" s="189">
        <v>42</v>
      </c>
      <c r="N27" s="189">
        <v>40</v>
      </c>
      <c r="O27" s="189" t="s">
        <v>588</v>
      </c>
      <c r="P27" s="189" t="s">
        <v>588</v>
      </c>
      <c r="Q27" s="190">
        <v>1123659182</v>
      </c>
    </row>
  </sheetData>
  <mergeCells count="4">
    <mergeCell ref="B2:H2"/>
    <mergeCell ref="I4:L4"/>
    <mergeCell ref="I12:L12"/>
    <mergeCell ref="I20:L2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workbookViewId="0">
      <selection activeCell="A6" sqref="A6:H12"/>
    </sheetView>
  </sheetViews>
  <sheetFormatPr baseColWidth="10" defaultRowHeight="14.4"/>
  <cols>
    <col min="1" max="1" width="11.5546875" style="228"/>
    <col min="2" max="2" width="15.21875" bestFit="1" customWidth="1"/>
    <col min="3" max="3" width="32.6640625" bestFit="1" customWidth="1"/>
    <col min="4" max="4" width="14.6640625" bestFit="1" customWidth="1"/>
    <col min="6" max="6" width="20.109375" bestFit="1" customWidth="1"/>
    <col min="7" max="7" width="14.6640625" bestFit="1" customWidth="1"/>
    <col min="9" max="9" width="13.21875" bestFit="1" customWidth="1"/>
    <col min="10" max="10" width="21.21875" bestFit="1" customWidth="1"/>
    <col min="11" max="11" width="32.6640625" bestFit="1" customWidth="1"/>
  </cols>
  <sheetData>
    <row r="1" spans="1:16" ht="15" thickBot="1"/>
    <row r="2" spans="1:16" ht="15" thickBot="1">
      <c r="C2" s="507" t="s">
        <v>572</v>
      </c>
      <c r="D2" s="508"/>
      <c r="E2" s="508"/>
      <c r="F2" s="508"/>
      <c r="G2" s="508"/>
      <c r="H2" s="508"/>
      <c r="I2" s="508"/>
      <c r="J2" s="509"/>
    </row>
    <row r="3" spans="1:16">
      <c r="C3" s="217" t="s">
        <v>533</v>
      </c>
      <c r="D3" s="224" t="s">
        <v>535</v>
      </c>
      <c r="E3" s="224"/>
      <c r="F3" s="224" t="s">
        <v>533</v>
      </c>
      <c r="G3" s="224" t="s">
        <v>535</v>
      </c>
      <c r="H3" s="224"/>
      <c r="I3" s="224" t="s">
        <v>537</v>
      </c>
      <c r="J3" s="218" t="s">
        <v>538</v>
      </c>
    </row>
    <row r="4" spans="1:16" ht="15" thickBot="1">
      <c r="C4" s="219" t="s">
        <v>534</v>
      </c>
      <c r="D4" s="225" t="s">
        <v>534</v>
      </c>
      <c r="E4" s="225"/>
      <c r="F4" s="225" t="s">
        <v>536</v>
      </c>
      <c r="G4" s="225" t="s">
        <v>536</v>
      </c>
      <c r="H4" s="225"/>
      <c r="I4" s="225"/>
      <c r="J4" s="220" t="s">
        <v>539</v>
      </c>
    </row>
    <row r="5" spans="1:16" ht="15" thickBot="1"/>
    <row r="6" spans="1:16" ht="16.2" thickBot="1">
      <c r="A6" s="354" t="s">
        <v>457</v>
      </c>
      <c r="B6" s="428">
        <v>97294</v>
      </c>
      <c r="C6" s="479" t="s">
        <v>572</v>
      </c>
      <c r="J6" t="s">
        <v>600</v>
      </c>
    </row>
    <row r="7" spans="1:16">
      <c r="A7" s="514" t="s">
        <v>644</v>
      </c>
      <c r="B7" s="515"/>
      <c r="C7" s="516"/>
      <c r="D7" s="517"/>
      <c r="E7" s="367" t="s">
        <v>583</v>
      </c>
      <c r="F7" s="367" t="s">
        <v>584</v>
      </c>
      <c r="G7" s="367" t="s">
        <v>585</v>
      </c>
      <c r="H7" s="290" t="s">
        <v>586</v>
      </c>
    </row>
    <row r="8" spans="1:16">
      <c r="A8" s="185" t="s">
        <v>502</v>
      </c>
      <c r="B8" s="234" t="s">
        <v>536</v>
      </c>
      <c r="C8" s="180" t="s">
        <v>182</v>
      </c>
      <c r="D8" s="180">
        <v>95144208</v>
      </c>
      <c r="E8" s="180">
        <v>48</v>
      </c>
      <c r="F8" s="180">
        <v>42</v>
      </c>
      <c r="G8" s="180" t="s">
        <v>597</v>
      </c>
      <c r="H8" s="186" t="s">
        <v>597</v>
      </c>
      <c r="I8" s="228" t="s">
        <v>502</v>
      </c>
      <c r="J8" s="234" t="s">
        <v>536</v>
      </c>
      <c r="K8" s="234" t="s">
        <v>137</v>
      </c>
      <c r="L8" s="234" t="s">
        <v>138</v>
      </c>
      <c r="M8" s="234">
        <v>44</v>
      </c>
      <c r="N8" s="234">
        <v>42</v>
      </c>
      <c r="O8" s="234" t="s">
        <v>592</v>
      </c>
      <c r="P8" s="234" t="s">
        <v>592</v>
      </c>
    </row>
    <row r="9" spans="1:16">
      <c r="A9" s="185" t="s">
        <v>502</v>
      </c>
      <c r="B9" s="234" t="s">
        <v>536</v>
      </c>
      <c r="C9" s="180" t="s">
        <v>185</v>
      </c>
      <c r="D9" s="180">
        <v>48100839</v>
      </c>
      <c r="E9" s="180">
        <v>40</v>
      </c>
      <c r="F9" s="180">
        <v>39</v>
      </c>
      <c r="G9" s="180" t="s">
        <v>588</v>
      </c>
      <c r="H9" s="186" t="s">
        <v>588</v>
      </c>
      <c r="I9" s="228" t="s">
        <v>502</v>
      </c>
      <c r="J9" s="234" t="s">
        <v>536</v>
      </c>
      <c r="K9" s="234" t="s">
        <v>145</v>
      </c>
      <c r="L9" s="234" t="s">
        <v>598</v>
      </c>
      <c r="M9" s="234">
        <v>40</v>
      </c>
      <c r="N9" s="234">
        <v>40</v>
      </c>
      <c r="O9" s="234" t="s">
        <v>595</v>
      </c>
      <c r="P9" s="234" t="s">
        <v>595</v>
      </c>
    </row>
    <row r="10" spans="1:16">
      <c r="A10" s="185"/>
      <c r="B10" s="180"/>
      <c r="C10" s="180"/>
      <c r="D10" s="180"/>
      <c r="E10" s="180"/>
      <c r="F10" s="180"/>
      <c r="G10" s="180"/>
      <c r="H10" s="186"/>
    </row>
    <row r="11" spans="1:16">
      <c r="A11" s="185" t="s">
        <v>498</v>
      </c>
      <c r="B11" s="180" t="s">
        <v>534</v>
      </c>
      <c r="C11" s="180" t="s">
        <v>53</v>
      </c>
      <c r="D11" s="180">
        <v>48232596</v>
      </c>
      <c r="E11" s="180">
        <v>48</v>
      </c>
      <c r="F11" s="180">
        <v>44</v>
      </c>
      <c r="G11" s="180" t="s">
        <v>596</v>
      </c>
      <c r="H11" s="186" t="s">
        <v>596</v>
      </c>
    </row>
    <row r="12" spans="1:16" ht="15" thickBot="1">
      <c r="A12" s="368" t="s">
        <v>498</v>
      </c>
      <c r="B12" s="189" t="s">
        <v>534</v>
      </c>
      <c r="C12" s="189" t="s">
        <v>55</v>
      </c>
      <c r="D12" s="189">
        <v>47384119</v>
      </c>
      <c r="E12" s="189">
        <v>38</v>
      </c>
      <c r="F12" s="189">
        <v>45</v>
      </c>
      <c r="G12" s="189" t="s">
        <v>597</v>
      </c>
      <c r="H12" s="190" t="s">
        <v>597</v>
      </c>
    </row>
    <row r="13" spans="1:16">
      <c r="A13" s="518" t="s">
        <v>645</v>
      </c>
      <c r="B13" s="516"/>
      <c r="C13" s="516"/>
      <c r="D13" s="517"/>
      <c r="E13" s="367" t="s">
        <v>583</v>
      </c>
      <c r="F13" s="367" t="s">
        <v>584</v>
      </c>
      <c r="G13" s="367" t="s">
        <v>585</v>
      </c>
      <c r="H13" s="290" t="s">
        <v>586</v>
      </c>
    </row>
    <row r="14" spans="1:16">
      <c r="A14" s="185" t="s">
        <v>502</v>
      </c>
      <c r="B14" s="234" t="s">
        <v>536</v>
      </c>
      <c r="C14" s="234" t="s">
        <v>137</v>
      </c>
      <c r="D14" s="234" t="s">
        <v>138</v>
      </c>
      <c r="E14" s="234">
        <v>44</v>
      </c>
      <c r="F14" s="234">
        <v>42</v>
      </c>
      <c r="G14" s="234" t="s">
        <v>592</v>
      </c>
      <c r="H14" s="234" t="s">
        <v>592</v>
      </c>
    </row>
    <row r="15" spans="1:16">
      <c r="A15" s="185" t="s">
        <v>502</v>
      </c>
      <c r="B15" s="234" t="s">
        <v>536</v>
      </c>
      <c r="C15" s="234" t="s">
        <v>145</v>
      </c>
      <c r="D15" s="234" t="s">
        <v>598</v>
      </c>
      <c r="E15" s="234">
        <v>40</v>
      </c>
      <c r="F15" s="234">
        <v>40</v>
      </c>
      <c r="G15" s="234" t="s">
        <v>595</v>
      </c>
      <c r="H15" s="234" t="s">
        <v>595</v>
      </c>
    </row>
    <row r="16" spans="1:16">
      <c r="A16" s="185"/>
      <c r="B16" s="180"/>
      <c r="C16" s="180"/>
      <c r="D16" s="180"/>
      <c r="E16" s="180"/>
      <c r="F16" s="180"/>
      <c r="G16" s="180"/>
      <c r="H16" s="186"/>
    </row>
    <row r="17" spans="1:8">
      <c r="A17" s="185" t="s">
        <v>498</v>
      </c>
      <c r="B17" s="180" t="s">
        <v>534</v>
      </c>
      <c r="C17" s="180" t="s">
        <v>74</v>
      </c>
      <c r="D17" s="180">
        <v>94790369</v>
      </c>
      <c r="E17" s="180"/>
      <c r="F17" s="180">
        <v>40</v>
      </c>
      <c r="G17" s="180"/>
      <c r="H17" s="186"/>
    </row>
    <row r="18" spans="1:8" ht="15" thickBot="1">
      <c r="A18" s="368" t="s">
        <v>502</v>
      </c>
      <c r="B18" s="189" t="s">
        <v>534</v>
      </c>
      <c r="C18" s="189" t="s">
        <v>197</v>
      </c>
      <c r="D18" s="189">
        <v>48442837</v>
      </c>
      <c r="E18" s="189"/>
      <c r="F18" s="189"/>
      <c r="G18" s="189"/>
      <c r="H18" s="190"/>
    </row>
    <row r="19" spans="1:8">
      <c r="A19" s="518" t="s">
        <v>646</v>
      </c>
      <c r="B19" s="516"/>
      <c r="C19" s="516"/>
      <c r="D19" s="517"/>
      <c r="E19" s="367" t="s">
        <v>583</v>
      </c>
      <c r="F19" s="367" t="s">
        <v>584</v>
      </c>
      <c r="G19" s="367" t="s">
        <v>585</v>
      </c>
      <c r="H19" s="290" t="s">
        <v>586</v>
      </c>
    </row>
    <row r="20" spans="1:8">
      <c r="A20" s="185" t="s">
        <v>502</v>
      </c>
      <c r="B20" s="234" t="s">
        <v>536</v>
      </c>
      <c r="C20" s="180" t="s">
        <v>248</v>
      </c>
      <c r="D20" s="180">
        <v>53216102</v>
      </c>
      <c r="E20" s="180"/>
      <c r="F20" s="180">
        <v>39</v>
      </c>
      <c r="G20" s="180"/>
      <c r="H20" s="186"/>
    </row>
    <row r="21" spans="1:8">
      <c r="A21" s="185" t="s">
        <v>502</v>
      </c>
      <c r="B21" s="234" t="s">
        <v>536</v>
      </c>
      <c r="C21" s="180" t="s">
        <v>92</v>
      </c>
      <c r="D21" s="180">
        <v>48637710</v>
      </c>
      <c r="E21" s="180"/>
      <c r="F21" s="180"/>
      <c r="G21" s="180"/>
      <c r="H21" s="186"/>
    </row>
    <row r="22" spans="1:8">
      <c r="A22" s="185"/>
      <c r="B22" s="180"/>
      <c r="C22" s="180"/>
      <c r="D22" s="180"/>
      <c r="E22" s="180"/>
      <c r="F22" s="180"/>
      <c r="G22" s="180"/>
      <c r="H22" s="186"/>
    </row>
    <row r="23" spans="1:8">
      <c r="A23" s="185" t="s">
        <v>498</v>
      </c>
      <c r="B23" s="180" t="s">
        <v>534</v>
      </c>
      <c r="C23" s="180" t="s">
        <v>68</v>
      </c>
      <c r="D23" s="180">
        <v>48289633</v>
      </c>
      <c r="E23" s="180"/>
      <c r="F23" s="180"/>
      <c r="G23" s="180"/>
      <c r="H23" s="186"/>
    </row>
    <row r="24" spans="1:8" ht="15" thickBot="1">
      <c r="A24" s="368" t="s">
        <v>498</v>
      </c>
      <c r="B24" s="189" t="s">
        <v>534</v>
      </c>
      <c r="C24" s="189" t="s">
        <v>30</v>
      </c>
      <c r="D24" s="189">
        <v>48291340</v>
      </c>
      <c r="E24" s="189"/>
      <c r="F24" s="189"/>
      <c r="G24" s="189"/>
      <c r="H24" s="190"/>
    </row>
  </sheetData>
  <mergeCells count="4">
    <mergeCell ref="C2:J2"/>
    <mergeCell ref="A7:D7"/>
    <mergeCell ref="A13:D13"/>
    <mergeCell ref="A19:D1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9"/>
  <sheetViews>
    <sheetView workbookViewId="0">
      <selection activeCell="J7" sqref="B7:J12"/>
    </sheetView>
  </sheetViews>
  <sheetFormatPr baseColWidth="10" defaultRowHeight="14.4"/>
  <cols>
    <col min="2" max="3" width="21.21875" bestFit="1" customWidth="1"/>
    <col min="4" max="4" width="16.109375" customWidth="1"/>
    <col min="5" max="5" width="36" bestFit="1" customWidth="1"/>
    <col min="6" max="6" width="21.21875" bestFit="1" customWidth="1"/>
  </cols>
  <sheetData>
    <row r="1" spans="2:10" s="216" customFormat="1" ht="15" thickBot="1"/>
    <row r="2" spans="2:10" ht="18.600000000000001" thickBot="1">
      <c r="B2" s="507" t="s">
        <v>578</v>
      </c>
      <c r="C2" s="508"/>
      <c r="D2" s="508"/>
      <c r="E2" s="508"/>
      <c r="F2" s="508"/>
      <c r="G2" s="429" t="s">
        <v>457</v>
      </c>
      <c r="H2" s="430">
        <v>97295</v>
      </c>
    </row>
    <row r="3" spans="2:10">
      <c r="B3" s="217" t="s">
        <v>536</v>
      </c>
      <c r="C3" s="224" t="s">
        <v>534</v>
      </c>
      <c r="D3" s="224"/>
      <c r="E3" s="224" t="s">
        <v>554</v>
      </c>
      <c r="F3" s="218" t="s">
        <v>555</v>
      </c>
    </row>
    <row r="4" spans="2:10">
      <c r="B4" s="226" t="s">
        <v>553</v>
      </c>
      <c r="C4" s="221" t="s">
        <v>553</v>
      </c>
      <c r="D4" s="221"/>
      <c r="E4" s="221"/>
      <c r="F4" s="227" t="s">
        <v>556</v>
      </c>
    </row>
    <row r="5" spans="2:10" ht="15" thickBot="1">
      <c r="B5" s="219" t="s">
        <v>542</v>
      </c>
      <c r="C5" s="225" t="s">
        <v>542</v>
      </c>
      <c r="D5" s="225"/>
      <c r="E5" s="225"/>
      <c r="F5" s="220"/>
    </row>
    <row r="6" spans="2:10" ht="15" thickBot="1"/>
    <row r="7" spans="2:10">
      <c r="B7" s="570" t="s">
        <v>578</v>
      </c>
      <c r="C7" s="300" t="s">
        <v>676</v>
      </c>
      <c r="D7" s="296" t="s">
        <v>613</v>
      </c>
      <c r="E7" s="296"/>
      <c r="F7" s="297" t="s">
        <v>583</v>
      </c>
      <c r="G7" s="297" t="s">
        <v>584</v>
      </c>
      <c r="H7" s="297" t="s">
        <v>585</v>
      </c>
      <c r="I7" s="297" t="s">
        <v>586</v>
      </c>
      <c r="J7" s="298" t="s">
        <v>590</v>
      </c>
    </row>
    <row r="8" spans="2:10">
      <c r="B8" s="185" t="s">
        <v>617</v>
      </c>
      <c r="C8" s="301" t="s">
        <v>498</v>
      </c>
      <c r="D8" s="180">
        <v>94790369</v>
      </c>
      <c r="E8" s="180" t="s">
        <v>74</v>
      </c>
      <c r="F8" s="180">
        <v>40</v>
      </c>
      <c r="G8" s="180">
        <v>40</v>
      </c>
      <c r="H8" s="180" t="s">
        <v>588</v>
      </c>
      <c r="I8" s="180" t="s">
        <v>621</v>
      </c>
      <c r="J8" s="186">
        <v>1164987584</v>
      </c>
    </row>
    <row r="9" spans="2:10" ht="15" thickBot="1">
      <c r="B9" s="188"/>
      <c r="C9" s="302" t="s">
        <v>498</v>
      </c>
      <c r="D9" s="189">
        <v>48576051</v>
      </c>
      <c r="E9" s="189" t="s">
        <v>77</v>
      </c>
      <c r="F9" s="189">
        <v>42</v>
      </c>
      <c r="G9" s="189">
        <v>40</v>
      </c>
      <c r="H9" s="189" t="s">
        <v>588</v>
      </c>
      <c r="I9" s="189" t="s">
        <v>588</v>
      </c>
      <c r="J9" s="190">
        <v>1123659182</v>
      </c>
    </row>
    <row r="10" spans="2:10">
      <c r="B10" s="295"/>
      <c r="C10" s="300"/>
      <c r="D10" s="296" t="s">
        <v>613</v>
      </c>
      <c r="E10" s="296"/>
      <c r="F10" s="297" t="s">
        <v>583</v>
      </c>
      <c r="G10" s="297" t="s">
        <v>584</v>
      </c>
      <c r="H10" s="297" t="s">
        <v>585</v>
      </c>
      <c r="I10" s="297" t="s">
        <v>586</v>
      </c>
      <c r="J10" s="298" t="s">
        <v>590</v>
      </c>
    </row>
    <row r="11" spans="2:10" ht="15" thickBot="1">
      <c r="B11" s="185" t="s">
        <v>534</v>
      </c>
      <c r="C11" s="302" t="s">
        <v>502</v>
      </c>
      <c r="D11" s="180" t="s">
        <v>204</v>
      </c>
      <c r="E11" s="180" t="s">
        <v>203</v>
      </c>
      <c r="F11" s="180">
        <v>42</v>
      </c>
      <c r="G11" s="180">
        <v>42</v>
      </c>
      <c r="H11" s="180" t="s">
        <v>588</v>
      </c>
      <c r="I11" s="180" t="s">
        <v>595</v>
      </c>
      <c r="J11" s="186">
        <v>1166228511</v>
      </c>
    </row>
    <row r="12" spans="2:10" ht="15" thickBot="1">
      <c r="B12" s="188"/>
      <c r="C12" s="302" t="s">
        <v>502</v>
      </c>
      <c r="D12" s="189">
        <v>48631821</v>
      </c>
      <c r="E12" s="189" t="s">
        <v>206</v>
      </c>
      <c r="F12" s="189">
        <v>42</v>
      </c>
      <c r="G12" s="189">
        <v>42</v>
      </c>
      <c r="H12" s="189" t="s">
        <v>588</v>
      </c>
      <c r="I12" s="189" t="s">
        <v>595</v>
      </c>
      <c r="J12" s="190">
        <v>1157398261</v>
      </c>
    </row>
    <row r="13" spans="2:10" ht="15" thickBot="1"/>
    <row r="14" spans="2:10">
      <c r="B14" s="295"/>
      <c r="C14" s="300"/>
      <c r="D14" s="296" t="s">
        <v>600</v>
      </c>
      <c r="E14" s="296"/>
      <c r="F14" s="297" t="s">
        <v>583</v>
      </c>
      <c r="G14" s="297" t="s">
        <v>584</v>
      </c>
      <c r="H14" s="297" t="s">
        <v>585</v>
      </c>
      <c r="I14" s="297" t="s">
        <v>586</v>
      </c>
      <c r="J14" s="298" t="s">
        <v>590</v>
      </c>
    </row>
    <row r="15" spans="2:10">
      <c r="B15" s="185" t="s">
        <v>617</v>
      </c>
      <c r="C15" s="301" t="s">
        <v>502</v>
      </c>
      <c r="D15" s="180">
        <v>48570110</v>
      </c>
      <c r="E15" s="180" t="s">
        <v>151</v>
      </c>
      <c r="F15" s="180">
        <v>42</v>
      </c>
      <c r="G15" s="180">
        <v>42</v>
      </c>
      <c r="H15" s="180" t="s">
        <v>588</v>
      </c>
      <c r="I15" s="180" t="s">
        <v>588</v>
      </c>
      <c r="J15" s="186">
        <v>1139582572</v>
      </c>
    </row>
    <row r="16" spans="2:10" ht="15" thickBot="1">
      <c r="B16" s="188"/>
      <c r="C16" s="302" t="s">
        <v>498</v>
      </c>
      <c r="D16" s="189">
        <v>48495550</v>
      </c>
      <c r="E16" s="189" t="s">
        <v>62</v>
      </c>
      <c r="F16" s="189">
        <v>38</v>
      </c>
      <c r="G16" s="189">
        <v>39</v>
      </c>
      <c r="H16" s="189" t="s">
        <v>588</v>
      </c>
      <c r="I16" s="189" t="s">
        <v>595</v>
      </c>
      <c r="J16" s="190">
        <v>1134374374</v>
      </c>
    </row>
    <row r="17" spans="2:10">
      <c r="B17" s="295"/>
      <c r="C17" s="300"/>
      <c r="D17" s="296" t="s">
        <v>600</v>
      </c>
      <c r="E17" s="296"/>
      <c r="F17" s="297" t="s">
        <v>583</v>
      </c>
      <c r="G17" s="297" t="s">
        <v>584</v>
      </c>
      <c r="H17" s="297" t="s">
        <v>585</v>
      </c>
      <c r="I17" s="297" t="s">
        <v>586</v>
      </c>
      <c r="J17" s="298" t="s">
        <v>590</v>
      </c>
    </row>
    <row r="18" spans="2:10" ht="15" thickBot="1">
      <c r="B18" s="185" t="s">
        <v>534</v>
      </c>
      <c r="C18" s="302" t="s">
        <v>502</v>
      </c>
      <c r="D18" s="180">
        <v>47559286</v>
      </c>
      <c r="E18" s="180" t="s">
        <v>114</v>
      </c>
      <c r="F18" s="180">
        <v>40</v>
      </c>
      <c r="G18" s="180">
        <v>38</v>
      </c>
      <c r="H18" s="180" t="s">
        <v>595</v>
      </c>
      <c r="I18" s="180" t="s">
        <v>595</v>
      </c>
      <c r="J18" s="186">
        <v>1150385380</v>
      </c>
    </row>
    <row r="19" spans="2:10" ht="15" thickBot="1">
      <c r="B19" s="188"/>
      <c r="C19" s="302" t="s">
        <v>498</v>
      </c>
      <c r="D19" s="189">
        <v>94786656</v>
      </c>
      <c r="E19" s="189" t="s">
        <v>94</v>
      </c>
      <c r="F19" s="189">
        <v>46</v>
      </c>
      <c r="G19" s="189">
        <v>43</v>
      </c>
      <c r="H19" s="189" t="s">
        <v>596</v>
      </c>
      <c r="I19" s="189" t="s">
        <v>596</v>
      </c>
      <c r="J19" s="190">
        <v>1134438728</v>
      </c>
    </row>
  </sheetData>
  <mergeCells count="1">
    <mergeCell ref="B2:F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5"/>
  <sheetViews>
    <sheetView workbookViewId="0">
      <selection activeCell="D8" sqref="D8:M10"/>
    </sheetView>
  </sheetViews>
  <sheetFormatPr baseColWidth="10" defaultRowHeight="14.4"/>
  <cols>
    <col min="2" max="2" width="20.109375" bestFit="1" customWidth="1"/>
    <col min="4" max="4" width="3.109375" bestFit="1" customWidth="1"/>
    <col min="5" max="5" width="25.44140625" bestFit="1" customWidth="1"/>
    <col min="6" max="6" width="13.109375" bestFit="1" customWidth="1"/>
    <col min="7" max="7" width="8.88671875" customWidth="1"/>
    <col min="8" max="8" width="6.44140625" customWidth="1"/>
  </cols>
  <sheetData>
    <row r="1" spans="2:13" s="216" customFormat="1" ht="15" thickBot="1"/>
    <row r="2" spans="2:13" ht="15" thickBot="1">
      <c r="B2" s="229" t="s">
        <v>565</v>
      </c>
      <c r="C2" s="230"/>
      <c r="D2" s="447"/>
      <c r="E2" s="447"/>
      <c r="F2" s="447"/>
      <c r="G2" s="447"/>
      <c r="H2" s="447"/>
      <c r="I2" s="447"/>
      <c r="J2" s="447"/>
      <c r="K2" s="447"/>
      <c r="L2" s="447"/>
      <c r="M2" s="11"/>
    </row>
    <row r="3" spans="2:13" ht="15" thickBot="1">
      <c r="B3" s="229" t="s">
        <v>536</v>
      </c>
      <c r="C3" s="230"/>
      <c r="D3" s="240"/>
      <c r="E3" s="240"/>
      <c r="F3" s="240"/>
      <c r="G3" s="240"/>
      <c r="H3" s="240"/>
      <c r="I3" s="240"/>
      <c r="J3" s="240"/>
      <c r="K3" s="240"/>
      <c r="L3" s="240"/>
      <c r="M3" s="12"/>
    </row>
    <row r="4" spans="2:13">
      <c r="B4" s="226" t="s">
        <v>564</v>
      </c>
      <c r="C4" s="227"/>
      <c r="D4" s="240"/>
      <c r="E4" s="240"/>
      <c r="F4" s="240"/>
      <c r="G4" s="240"/>
      <c r="H4" s="240"/>
      <c r="I4" s="240"/>
      <c r="J4" s="240"/>
      <c r="K4" s="240"/>
      <c r="L4" s="240"/>
      <c r="M4" s="12"/>
    </row>
    <row r="5" spans="2:13">
      <c r="B5" s="226" t="s">
        <v>548</v>
      </c>
      <c r="C5" s="227"/>
      <c r="D5" s="240"/>
      <c r="E5" s="240" t="s">
        <v>658</v>
      </c>
      <c r="F5" s="240"/>
      <c r="G5" s="240"/>
      <c r="H5" s="240"/>
      <c r="I5" s="240"/>
      <c r="J5" s="240"/>
      <c r="K5" s="240"/>
      <c r="L5" s="240"/>
      <c r="M5" s="12"/>
    </row>
    <row r="6" spans="2:13" ht="18.600000000000001" thickBot="1">
      <c r="B6" s="219" t="s">
        <v>558</v>
      </c>
      <c r="C6" s="220"/>
      <c r="D6" s="240" t="s">
        <v>657</v>
      </c>
      <c r="E6" s="240"/>
      <c r="F6" s="476" t="s">
        <v>457</v>
      </c>
      <c r="G6" s="477">
        <v>97303</v>
      </c>
      <c r="H6" s="240"/>
      <c r="I6" s="240"/>
      <c r="J6" s="240"/>
      <c r="K6" s="240"/>
      <c r="L6" s="240"/>
      <c r="M6" s="12"/>
    </row>
    <row r="7" spans="2:13" ht="15" thickBot="1">
      <c r="B7" s="231"/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12"/>
    </row>
    <row r="8" spans="2:13" ht="15" thickBot="1">
      <c r="B8" s="231"/>
      <c r="C8" s="240"/>
      <c r="D8" s="312"/>
      <c r="E8" s="322" t="s">
        <v>675</v>
      </c>
      <c r="F8" s="318"/>
      <c r="G8" s="319" t="s">
        <v>613</v>
      </c>
      <c r="H8" s="319"/>
      <c r="I8" s="320" t="s">
        <v>583</v>
      </c>
      <c r="J8" s="320" t="s">
        <v>584</v>
      </c>
      <c r="K8" s="320" t="s">
        <v>585</v>
      </c>
      <c r="L8" s="320" t="s">
        <v>586</v>
      </c>
      <c r="M8" s="321" t="s">
        <v>590</v>
      </c>
    </row>
    <row r="9" spans="2:13">
      <c r="B9" s="231"/>
      <c r="C9" s="240"/>
      <c r="D9" s="313" t="s">
        <v>498</v>
      </c>
      <c r="E9" s="323" t="s">
        <v>97</v>
      </c>
      <c r="F9" s="316">
        <v>46911524</v>
      </c>
      <c r="G9" s="308"/>
      <c r="H9" s="308"/>
      <c r="I9" s="326">
        <v>40</v>
      </c>
      <c r="J9" s="326">
        <v>38</v>
      </c>
      <c r="K9" s="326" t="s">
        <v>588</v>
      </c>
      <c r="L9" s="326" t="s">
        <v>588</v>
      </c>
      <c r="M9" s="365">
        <v>1162073304</v>
      </c>
    </row>
    <row r="10" spans="2:13" ht="15" thickBot="1">
      <c r="B10" s="231"/>
      <c r="C10" s="240"/>
      <c r="D10" s="377" t="s">
        <v>502</v>
      </c>
      <c r="E10" s="233" t="s">
        <v>233</v>
      </c>
      <c r="F10" s="301" t="s">
        <v>234</v>
      </c>
      <c r="G10" s="180"/>
      <c r="H10" s="180"/>
      <c r="I10" s="378">
        <v>44</v>
      </c>
      <c r="J10" s="378">
        <v>40</v>
      </c>
      <c r="K10" s="378" t="s">
        <v>588</v>
      </c>
      <c r="L10" s="378" t="s">
        <v>588</v>
      </c>
      <c r="M10" s="379">
        <v>1126378098</v>
      </c>
    </row>
    <row r="11" spans="2:13" ht="15" thickBot="1">
      <c r="B11" s="475"/>
      <c r="C11" s="232"/>
      <c r="D11" s="314"/>
      <c r="E11" s="325"/>
      <c r="F11" s="302"/>
      <c r="G11" s="189"/>
      <c r="H11" s="189"/>
      <c r="I11" s="310"/>
      <c r="J11" s="310"/>
      <c r="K11" s="310"/>
      <c r="L11" s="310"/>
      <c r="M11" s="311"/>
    </row>
    <row r="22" spans="6:8">
      <c r="F22" s="240"/>
      <c r="G22" s="240"/>
      <c r="H22" s="240"/>
    </row>
    <row r="23" spans="6:8">
      <c r="F23" s="240"/>
      <c r="G23" s="240"/>
      <c r="H23" s="240"/>
    </row>
    <row r="24" spans="6:8">
      <c r="F24" s="240"/>
      <c r="G24" s="240"/>
      <c r="H24" s="240"/>
    </row>
    <row r="25" spans="6:8">
      <c r="F25" s="240"/>
      <c r="G25" s="240"/>
      <c r="H25" s="24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5"/>
  <sheetViews>
    <sheetView workbookViewId="0">
      <selection activeCell="B8" sqref="B8:K11"/>
    </sheetView>
  </sheetViews>
  <sheetFormatPr baseColWidth="10" defaultRowHeight="14.4"/>
  <cols>
    <col min="2" max="2" width="24.21875" bestFit="1" customWidth="1"/>
    <col min="3" max="3" width="19.21875" bestFit="1" customWidth="1"/>
    <col min="6" max="6" width="13.21875" bestFit="1" customWidth="1"/>
    <col min="7" max="7" width="19.21875" bestFit="1" customWidth="1"/>
  </cols>
  <sheetData>
    <row r="1" spans="2:11" ht="15" thickBot="1"/>
    <row r="2" spans="2:11" ht="15" thickBot="1">
      <c r="B2" s="519" t="s">
        <v>575</v>
      </c>
      <c r="C2" s="520"/>
      <c r="D2" s="520"/>
      <c r="E2" s="520"/>
      <c r="F2" s="520"/>
      <c r="G2" s="521"/>
      <c r="H2" s="447"/>
      <c r="I2" s="447"/>
      <c r="J2" s="447"/>
      <c r="K2" s="11"/>
    </row>
    <row r="3" spans="2:11">
      <c r="B3" s="217" t="s">
        <v>540</v>
      </c>
      <c r="C3" s="224" t="s">
        <v>542</v>
      </c>
      <c r="D3" s="224" t="s">
        <v>528</v>
      </c>
      <c r="E3" s="224"/>
      <c r="F3" s="224" t="s">
        <v>537</v>
      </c>
      <c r="G3" s="218" t="s">
        <v>546</v>
      </c>
      <c r="H3" s="240"/>
      <c r="I3" s="240"/>
      <c r="J3" s="240"/>
      <c r="K3" s="12"/>
    </row>
    <row r="4" spans="2:11">
      <c r="B4" s="226"/>
      <c r="C4" s="221" t="s">
        <v>543</v>
      </c>
      <c r="D4" s="221" t="s">
        <v>527</v>
      </c>
      <c r="E4" s="221"/>
      <c r="F4" s="221"/>
      <c r="G4" s="227" t="s">
        <v>623</v>
      </c>
      <c r="H4" s="240"/>
      <c r="I4" s="240"/>
      <c r="J4" s="240"/>
      <c r="K4" s="12"/>
    </row>
    <row r="5" spans="2:11" ht="15" thickBot="1">
      <c r="B5" s="219"/>
      <c r="C5" s="225" t="s">
        <v>622</v>
      </c>
      <c r="D5" s="225" t="s">
        <v>527</v>
      </c>
      <c r="E5" s="225"/>
      <c r="F5" s="225"/>
      <c r="G5" s="220" t="s">
        <v>558</v>
      </c>
      <c r="H5" s="240"/>
      <c r="I5" s="240"/>
      <c r="J5" s="240"/>
      <c r="K5" s="12"/>
    </row>
    <row r="6" spans="2:11">
      <c r="B6" s="231"/>
      <c r="C6" s="240"/>
      <c r="D6" s="240"/>
      <c r="E6" s="240"/>
      <c r="F6" s="240"/>
      <c r="G6" s="240"/>
      <c r="H6" s="240"/>
      <c r="I6" s="240"/>
      <c r="J6" s="240"/>
      <c r="K6" s="12"/>
    </row>
    <row r="7" spans="2:11" ht="15" thickBot="1">
      <c r="B7" s="231"/>
      <c r="C7" s="240"/>
      <c r="D7" s="240"/>
      <c r="E7" s="240"/>
      <c r="F7" s="240"/>
      <c r="G7" s="240"/>
      <c r="H7" s="240"/>
      <c r="I7" s="240"/>
      <c r="J7" s="240"/>
      <c r="K7" s="12"/>
    </row>
    <row r="8" spans="2:11" ht="21.6" thickBot="1">
      <c r="B8" s="433" t="s">
        <v>659</v>
      </c>
      <c r="C8" s="434">
        <v>97305</v>
      </c>
      <c r="D8" s="240"/>
      <c r="E8" s="240"/>
      <c r="F8" s="240"/>
      <c r="G8" s="240"/>
      <c r="H8" s="240"/>
      <c r="I8" s="240"/>
      <c r="J8" s="240"/>
      <c r="K8" s="12"/>
    </row>
    <row r="9" spans="2:11" ht="15" thickBot="1">
      <c r="B9" s="231" t="s">
        <v>575</v>
      </c>
      <c r="C9" s="240"/>
      <c r="D9" s="240"/>
      <c r="E9" s="240"/>
      <c r="F9" s="240"/>
      <c r="G9" s="240"/>
      <c r="H9" s="240"/>
      <c r="I9" s="240"/>
      <c r="J9" s="240"/>
      <c r="K9" s="12"/>
    </row>
    <row r="10" spans="2:11" ht="15" thickBot="1">
      <c r="B10" s="312"/>
      <c r="C10" s="322"/>
      <c r="D10" s="318"/>
      <c r="E10" s="319" t="s">
        <v>613</v>
      </c>
      <c r="F10" s="319"/>
      <c r="G10" s="320" t="s">
        <v>583</v>
      </c>
      <c r="H10" s="320" t="s">
        <v>584</v>
      </c>
      <c r="I10" s="320" t="s">
        <v>585</v>
      </c>
      <c r="J10" s="320" t="s">
        <v>586</v>
      </c>
      <c r="K10" s="321" t="s">
        <v>590</v>
      </c>
    </row>
    <row r="11" spans="2:11" ht="15" thickBot="1">
      <c r="B11" s="313" t="s">
        <v>604</v>
      </c>
      <c r="C11" s="323" t="s">
        <v>617</v>
      </c>
      <c r="D11" s="316" t="s">
        <v>498</v>
      </c>
      <c r="E11" s="308"/>
      <c r="F11" s="308" t="s">
        <v>168</v>
      </c>
      <c r="G11" s="308">
        <v>38</v>
      </c>
      <c r="H11" s="308">
        <v>40</v>
      </c>
      <c r="I11" s="308" t="s">
        <v>621</v>
      </c>
      <c r="J11" s="308" t="s">
        <v>621</v>
      </c>
      <c r="K11" s="309">
        <v>1131541944</v>
      </c>
    </row>
    <row r="12" spans="2:11" ht="15" thickBot="1">
      <c r="B12" s="312"/>
      <c r="C12" s="322"/>
      <c r="D12" s="318"/>
      <c r="E12" s="319" t="s">
        <v>600</v>
      </c>
      <c r="F12" s="319"/>
      <c r="G12" s="320" t="s">
        <v>583</v>
      </c>
      <c r="H12" s="320" t="s">
        <v>584</v>
      </c>
      <c r="I12" s="320" t="s">
        <v>585</v>
      </c>
      <c r="J12" s="320" t="s">
        <v>586</v>
      </c>
      <c r="K12" s="321" t="s">
        <v>590</v>
      </c>
    </row>
    <row r="13" spans="2:11" ht="15" thickBot="1">
      <c r="B13" s="314" t="s">
        <v>131</v>
      </c>
      <c r="C13" s="323" t="s">
        <v>617</v>
      </c>
      <c r="D13" s="302" t="s">
        <v>502</v>
      </c>
      <c r="E13" s="189"/>
      <c r="F13" s="189">
        <v>48289110</v>
      </c>
      <c r="G13" s="310">
        <v>40</v>
      </c>
      <c r="H13" s="310">
        <v>40</v>
      </c>
      <c r="I13" s="310" t="s">
        <v>595</v>
      </c>
      <c r="J13" s="310" t="s">
        <v>595</v>
      </c>
      <c r="K13" s="311">
        <v>1135813681</v>
      </c>
    </row>
    <row r="14" spans="2:11" ht="15" thickBot="1">
      <c r="B14" s="312"/>
      <c r="C14" s="322"/>
      <c r="D14" s="318"/>
      <c r="E14" s="319" t="s">
        <v>637</v>
      </c>
      <c r="F14" s="319"/>
      <c r="G14" s="320" t="s">
        <v>583</v>
      </c>
      <c r="H14" s="320" t="s">
        <v>584</v>
      </c>
      <c r="I14" s="320" t="s">
        <v>585</v>
      </c>
      <c r="J14" s="320" t="s">
        <v>586</v>
      </c>
      <c r="K14" s="321" t="s">
        <v>590</v>
      </c>
    </row>
    <row r="15" spans="2:11" ht="15" thickBot="1">
      <c r="B15" s="376" t="s">
        <v>71</v>
      </c>
      <c r="C15" s="233" t="s">
        <v>617</v>
      </c>
      <c r="D15" s="317" t="s">
        <v>655</v>
      </c>
      <c r="E15" s="317"/>
      <c r="F15" s="317">
        <v>48162941</v>
      </c>
      <c r="G15" s="317">
        <v>38</v>
      </c>
      <c r="H15" s="232">
        <v>42</v>
      </c>
      <c r="I15" s="375" t="s">
        <v>588</v>
      </c>
      <c r="J15" s="375" t="s">
        <v>588</v>
      </c>
      <c r="K15" s="233">
        <v>1162458514</v>
      </c>
    </row>
  </sheetData>
  <mergeCells count="1">
    <mergeCell ref="B2:G2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5"/>
  <sheetViews>
    <sheetView workbookViewId="0">
      <selection activeCell="B6" sqref="B6:K11"/>
    </sheetView>
  </sheetViews>
  <sheetFormatPr baseColWidth="10" defaultRowHeight="14.4"/>
  <cols>
    <col min="3" max="3" width="25.44140625" bestFit="1" customWidth="1"/>
    <col min="4" max="4" width="20.6640625" customWidth="1"/>
    <col min="5" max="5" width="17.44140625" customWidth="1"/>
    <col min="6" max="6" width="13.5546875" bestFit="1" customWidth="1"/>
  </cols>
  <sheetData>
    <row r="1" spans="2:12" s="286" customFormat="1" ht="23.4">
      <c r="B1" s="470"/>
      <c r="C1" s="471" t="s">
        <v>626</v>
      </c>
      <c r="D1" s="447"/>
      <c r="E1" s="447"/>
      <c r="F1" s="447"/>
      <c r="G1" s="447"/>
      <c r="H1" s="447"/>
      <c r="I1" s="447"/>
      <c r="J1" s="447"/>
      <c r="K1" s="11"/>
    </row>
    <row r="2" spans="2:12" s="286" customFormat="1" ht="16.2">
      <c r="B2" s="231"/>
      <c r="C2" s="472" t="s">
        <v>627</v>
      </c>
      <c r="D2" s="472" t="s">
        <v>628</v>
      </c>
      <c r="E2" s="472" t="s">
        <v>629</v>
      </c>
      <c r="F2" s="473" t="s">
        <v>630</v>
      </c>
      <c r="G2" s="443" t="s">
        <v>661</v>
      </c>
      <c r="H2" s="390"/>
      <c r="I2" s="390"/>
      <c r="J2" s="240"/>
      <c r="K2" s="12"/>
    </row>
    <row r="3" spans="2:12" ht="16.2">
      <c r="B3" s="231"/>
      <c r="C3" s="472" t="s">
        <v>631</v>
      </c>
      <c r="D3" s="472">
        <v>2</v>
      </c>
      <c r="E3" s="472">
        <v>1</v>
      </c>
      <c r="F3" s="473">
        <v>2</v>
      </c>
      <c r="G3" s="443">
        <v>2</v>
      </c>
      <c r="H3" s="390" t="s">
        <v>662</v>
      </c>
      <c r="I3" s="390"/>
      <c r="J3" s="240"/>
      <c r="K3" s="12"/>
    </row>
    <row r="4" spans="2:12" ht="21">
      <c r="B4" s="474" t="s">
        <v>625</v>
      </c>
      <c r="C4" s="472" t="s">
        <v>632</v>
      </c>
      <c r="D4" s="472">
        <v>2</v>
      </c>
      <c r="E4" s="472">
        <v>1</v>
      </c>
      <c r="F4" s="473">
        <v>2</v>
      </c>
      <c r="G4" s="240"/>
      <c r="H4" s="240"/>
      <c r="I4" s="240"/>
      <c r="J4" s="240"/>
      <c r="K4" s="12"/>
    </row>
    <row r="5" spans="2:12" ht="15" thickBot="1">
      <c r="B5" s="231"/>
      <c r="C5" s="240"/>
      <c r="D5" s="240"/>
      <c r="E5" s="240"/>
      <c r="F5" s="240"/>
      <c r="G5" s="240"/>
      <c r="H5" s="240"/>
      <c r="I5" s="240"/>
      <c r="J5" s="240"/>
      <c r="K5" s="12"/>
    </row>
    <row r="6" spans="2:12" ht="15" thickBot="1">
      <c r="B6" s="312" t="s">
        <v>674</v>
      </c>
      <c r="C6" s="322"/>
      <c r="D6" s="318"/>
      <c r="E6" s="319" t="s">
        <v>613</v>
      </c>
      <c r="F6" s="319"/>
      <c r="G6" s="320" t="s">
        <v>583</v>
      </c>
      <c r="H6" s="320" t="s">
        <v>584</v>
      </c>
      <c r="I6" s="320" t="s">
        <v>585</v>
      </c>
      <c r="J6" s="320" t="s">
        <v>586</v>
      </c>
      <c r="K6" s="321" t="s">
        <v>590</v>
      </c>
    </row>
    <row r="7" spans="2:12">
      <c r="B7" s="313" t="s">
        <v>502</v>
      </c>
      <c r="C7" s="323" t="s">
        <v>209</v>
      </c>
      <c r="D7" s="329" t="s">
        <v>210</v>
      </c>
      <c r="E7" s="308"/>
      <c r="F7" s="308"/>
      <c r="G7" s="308">
        <v>40</v>
      </c>
      <c r="H7" s="308">
        <v>41</v>
      </c>
      <c r="I7" s="308" t="s">
        <v>588</v>
      </c>
      <c r="J7" s="308" t="s">
        <v>588</v>
      </c>
      <c r="K7" s="309">
        <v>1121803277</v>
      </c>
      <c r="L7" s="323" t="s">
        <v>209</v>
      </c>
    </row>
    <row r="8" spans="2:12" ht="15" thickBot="1">
      <c r="B8" s="313" t="s">
        <v>498</v>
      </c>
      <c r="C8" s="324" t="s">
        <v>94</v>
      </c>
      <c r="D8" s="330">
        <v>94786656</v>
      </c>
      <c r="E8" s="180"/>
      <c r="F8" s="180"/>
      <c r="G8" s="180">
        <v>46</v>
      </c>
      <c r="H8" s="180">
        <v>43</v>
      </c>
      <c r="I8" s="180" t="s">
        <v>596</v>
      </c>
      <c r="J8" s="180" t="s">
        <v>596</v>
      </c>
      <c r="K8" s="186">
        <v>1134438728</v>
      </c>
      <c r="L8" s="324" t="s">
        <v>94</v>
      </c>
    </row>
    <row r="9" spans="2:12" ht="15" thickBot="1">
      <c r="B9" s="312"/>
      <c r="C9" s="322"/>
      <c r="D9" s="318"/>
      <c r="E9" s="319" t="s">
        <v>600</v>
      </c>
      <c r="F9" s="319"/>
      <c r="G9" s="320" t="s">
        <v>583</v>
      </c>
      <c r="H9" s="320" t="s">
        <v>584</v>
      </c>
      <c r="I9" s="320" t="s">
        <v>585</v>
      </c>
      <c r="J9" s="320" t="s">
        <v>586</v>
      </c>
      <c r="K9" s="321" t="s">
        <v>590</v>
      </c>
    </row>
    <row r="10" spans="2:12">
      <c r="B10" s="313" t="s">
        <v>502</v>
      </c>
      <c r="C10" s="323" t="s">
        <v>656</v>
      </c>
      <c r="D10" s="329" t="s">
        <v>183</v>
      </c>
      <c r="E10" s="308"/>
      <c r="F10" s="308"/>
      <c r="G10" s="180">
        <v>48</v>
      </c>
      <c r="H10" s="180">
        <v>42</v>
      </c>
      <c r="I10" s="180" t="s">
        <v>597</v>
      </c>
      <c r="J10" s="186" t="s">
        <v>597</v>
      </c>
      <c r="K10" s="309">
        <v>1138435130</v>
      </c>
    </row>
    <row r="11" spans="2:12">
      <c r="B11" s="313" t="s">
        <v>498</v>
      </c>
      <c r="C11" s="324" t="s">
        <v>185</v>
      </c>
      <c r="D11" s="330">
        <v>48100839</v>
      </c>
      <c r="E11" s="180"/>
      <c r="F11" s="180"/>
      <c r="G11" s="180">
        <v>40</v>
      </c>
      <c r="H11" s="180">
        <v>40</v>
      </c>
      <c r="I11" s="180" t="s">
        <v>597</v>
      </c>
      <c r="J11" s="180" t="s">
        <v>588</v>
      </c>
      <c r="K11" s="186">
        <v>1130661439</v>
      </c>
    </row>
    <row r="12" spans="2:12" ht="15" thickBot="1">
      <c r="B12" s="231"/>
      <c r="C12" s="240"/>
      <c r="D12" s="240"/>
      <c r="E12" s="240"/>
      <c r="F12" s="240"/>
      <c r="G12" s="240"/>
      <c r="H12" s="240"/>
      <c r="I12" s="240"/>
      <c r="J12" s="240"/>
      <c r="K12" s="12"/>
    </row>
    <row r="13" spans="2:12">
      <c r="B13" s="231"/>
      <c r="C13" s="240"/>
      <c r="D13" s="355" t="s">
        <v>663</v>
      </c>
      <c r="E13" s="444" t="s">
        <v>664</v>
      </c>
      <c r="F13" s="240"/>
      <c r="G13" s="240"/>
      <c r="H13" s="240"/>
      <c r="I13" s="240"/>
      <c r="J13" s="240"/>
      <c r="K13" s="12"/>
    </row>
    <row r="14" spans="2:12" ht="15" thickBot="1">
      <c r="B14" s="231"/>
      <c r="C14" s="240"/>
      <c r="D14" s="445">
        <v>2</v>
      </c>
      <c r="E14" s="446">
        <v>3</v>
      </c>
      <c r="F14" s="240"/>
      <c r="G14" s="240"/>
      <c r="H14" s="240"/>
      <c r="I14" s="240"/>
      <c r="J14" s="240"/>
      <c r="K14" s="12"/>
    </row>
    <row r="15" spans="2:12" ht="15" thickBot="1">
      <c r="B15" s="475"/>
      <c r="C15" s="232"/>
      <c r="D15" s="232" t="s">
        <v>665</v>
      </c>
      <c r="E15" s="232" t="s">
        <v>666</v>
      </c>
      <c r="F15" s="232"/>
      <c r="G15" s="232"/>
      <c r="H15" s="232"/>
      <c r="I15" s="232"/>
      <c r="J15" s="232"/>
      <c r="K15" s="23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C42"/>
  <sheetViews>
    <sheetView topLeftCell="L1" zoomScale="77" zoomScaleNormal="77" workbookViewId="0">
      <selection activeCell="V4" sqref="V4:W42"/>
    </sheetView>
  </sheetViews>
  <sheetFormatPr baseColWidth="10" defaultRowHeight="14.4"/>
  <cols>
    <col min="2" max="2" width="11.5546875" style="3"/>
    <col min="3" max="3" width="24.6640625" customWidth="1"/>
    <col min="12" max="12" width="20.44140625" bestFit="1" customWidth="1"/>
    <col min="13" max="13" width="15.88671875" bestFit="1" customWidth="1"/>
    <col min="23" max="23" width="31.77734375" bestFit="1" customWidth="1"/>
  </cols>
  <sheetData>
    <row r="1" spans="1:55" ht="15" thickBot="1"/>
    <row r="2" spans="1:55" ht="16.2" thickBot="1">
      <c r="L2" s="522" t="s">
        <v>582</v>
      </c>
      <c r="M2" s="523"/>
    </row>
    <row r="3" spans="1:55" ht="28.2" thickBot="1">
      <c r="B3" s="192" t="s">
        <v>457</v>
      </c>
      <c r="C3" s="193" t="s">
        <v>458</v>
      </c>
      <c r="D3" s="193" t="s">
        <v>459</v>
      </c>
      <c r="E3" s="193" t="s">
        <v>460</v>
      </c>
      <c r="F3" s="193" t="s">
        <v>461</v>
      </c>
      <c r="G3" s="193" t="s">
        <v>462</v>
      </c>
      <c r="H3" s="193" t="s">
        <v>463</v>
      </c>
      <c r="I3" s="193" t="s">
        <v>464</v>
      </c>
      <c r="J3" s="193" t="s">
        <v>465</v>
      </c>
      <c r="L3" s="524" t="s">
        <v>472</v>
      </c>
      <c r="M3" s="525"/>
      <c r="O3" s="528" t="s">
        <v>486</v>
      </c>
      <c r="P3" s="482"/>
      <c r="Q3" s="482"/>
      <c r="R3" s="482"/>
      <c r="S3" s="482"/>
      <c r="T3" s="482"/>
      <c r="V3" s="528" t="s">
        <v>522</v>
      </c>
      <c r="W3" s="482"/>
      <c r="X3" s="482"/>
      <c r="Y3" s="482"/>
      <c r="Z3" s="482"/>
      <c r="AA3" s="482"/>
      <c r="AB3" s="482"/>
      <c r="AC3" s="482"/>
      <c r="AD3" s="482"/>
      <c r="AE3" s="482"/>
      <c r="AF3" s="482"/>
      <c r="AG3" s="482"/>
      <c r="AH3" s="482"/>
      <c r="AI3" s="482"/>
      <c r="AJ3" s="482"/>
      <c r="AK3" s="482"/>
      <c r="AL3" s="482"/>
      <c r="AM3" s="482"/>
      <c r="AN3" s="482"/>
      <c r="AO3" s="482"/>
      <c r="AP3" s="482"/>
      <c r="AQ3" s="482"/>
      <c r="AR3" s="482"/>
      <c r="AS3" s="482"/>
      <c r="AT3" s="482"/>
      <c r="AU3" s="482"/>
      <c r="AV3" s="482"/>
      <c r="AW3" s="482"/>
      <c r="AX3" s="482"/>
      <c r="AY3" s="482"/>
      <c r="AZ3" s="482"/>
      <c r="BA3" s="482"/>
      <c r="BB3" s="482"/>
      <c r="BC3" s="482"/>
    </row>
    <row r="4" spans="1:55" ht="31.2" thickBot="1">
      <c r="B4" s="197">
        <v>95509</v>
      </c>
      <c r="C4" s="195" t="s">
        <v>466</v>
      </c>
      <c r="D4" s="194" t="s">
        <v>467</v>
      </c>
      <c r="E4" s="194">
        <v>2026</v>
      </c>
      <c r="F4" s="194" t="s">
        <v>468</v>
      </c>
      <c r="G4" s="194" t="s">
        <v>469</v>
      </c>
      <c r="H4" s="194" t="s">
        <v>470</v>
      </c>
      <c r="I4" s="196" t="s">
        <v>471</v>
      </c>
      <c r="J4" s="194"/>
      <c r="L4" s="526" t="s">
        <v>473</v>
      </c>
      <c r="M4" s="527"/>
      <c r="O4" s="202" t="s">
        <v>487</v>
      </c>
      <c r="P4" s="202" t="s">
        <v>488</v>
      </c>
      <c r="Q4" s="202" t="s">
        <v>489</v>
      </c>
      <c r="R4" s="202" t="s">
        <v>477</v>
      </c>
      <c r="S4" s="202" t="s">
        <v>490</v>
      </c>
      <c r="T4" s="202" t="s">
        <v>491</v>
      </c>
      <c r="V4" s="529" t="s">
        <v>496</v>
      </c>
      <c r="W4" s="529" t="s">
        <v>497</v>
      </c>
      <c r="X4" s="529" t="s">
        <v>523</v>
      </c>
      <c r="Y4" s="202">
        <v>1</v>
      </c>
      <c r="Z4" s="202">
        <v>2</v>
      </c>
      <c r="AA4" s="202">
        <v>3</v>
      </c>
      <c r="AB4" s="202">
        <v>4</v>
      </c>
      <c r="AC4" s="202">
        <v>5</v>
      </c>
      <c r="AD4" s="202">
        <v>6</v>
      </c>
      <c r="AE4" s="202">
        <v>7</v>
      </c>
      <c r="AF4" s="202">
        <v>8</v>
      </c>
      <c r="AG4" s="202">
        <v>9</v>
      </c>
      <c r="AH4" s="202">
        <v>10</v>
      </c>
      <c r="AI4" s="202">
        <v>11</v>
      </c>
      <c r="AJ4" s="202">
        <v>12</v>
      </c>
      <c r="AK4" s="202">
        <v>13</v>
      </c>
      <c r="AL4" s="202">
        <v>14</v>
      </c>
      <c r="AM4" s="202">
        <v>15</v>
      </c>
      <c r="AN4" s="202">
        <v>16</v>
      </c>
      <c r="AO4" s="202">
        <v>17</v>
      </c>
      <c r="AP4" s="202">
        <v>18</v>
      </c>
      <c r="AQ4" s="202">
        <v>19</v>
      </c>
      <c r="AR4" s="202">
        <v>20</v>
      </c>
      <c r="AS4" s="202">
        <v>21</v>
      </c>
      <c r="AT4" s="202">
        <v>22</v>
      </c>
      <c r="AU4" s="202">
        <v>23</v>
      </c>
      <c r="AV4" s="202">
        <v>24</v>
      </c>
      <c r="AW4" s="202">
        <v>25</v>
      </c>
      <c r="AX4" s="202">
        <v>26</v>
      </c>
      <c r="AY4" s="202">
        <v>27</v>
      </c>
      <c r="AZ4" s="202">
        <v>28</v>
      </c>
      <c r="BA4" s="202">
        <v>29</v>
      </c>
      <c r="BB4" s="202">
        <v>30</v>
      </c>
      <c r="BC4" s="160"/>
    </row>
    <row r="5" spans="1:55">
      <c r="B5" s="198" t="s">
        <v>474</v>
      </c>
      <c r="C5" s="199">
        <v>46112</v>
      </c>
      <c r="L5" s="251" t="s">
        <v>474</v>
      </c>
      <c r="M5" s="244">
        <v>46112</v>
      </c>
      <c r="O5" s="203">
        <v>1</v>
      </c>
      <c r="P5" s="204">
        <v>46112</v>
      </c>
      <c r="Q5" s="205" t="s">
        <v>492</v>
      </c>
      <c r="R5" s="205" t="s">
        <v>493</v>
      </c>
      <c r="S5" s="203">
        <v>4</v>
      </c>
      <c r="T5" s="203">
        <v>4</v>
      </c>
      <c r="V5" s="530"/>
      <c r="W5" s="530"/>
      <c r="X5" s="530"/>
      <c r="Y5" s="210">
        <v>46112</v>
      </c>
      <c r="Z5" s="210">
        <v>46113</v>
      </c>
      <c r="AA5" s="210">
        <v>46119</v>
      </c>
      <c r="AB5" s="210">
        <v>46120</v>
      </c>
      <c r="AC5" s="210">
        <v>46126</v>
      </c>
      <c r="AD5" s="210">
        <v>46127</v>
      </c>
      <c r="AE5" s="210">
        <v>46133</v>
      </c>
      <c r="AF5" s="210">
        <v>46134</v>
      </c>
      <c r="AG5" s="210">
        <v>46140</v>
      </c>
      <c r="AH5" s="210">
        <v>46141</v>
      </c>
      <c r="AI5" s="210">
        <v>46147</v>
      </c>
      <c r="AJ5" s="210">
        <v>46148</v>
      </c>
      <c r="AK5" s="210">
        <v>46154</v>
      </c>
      <c r="AL5" s="210">
        <v>46155</v>
      </c>
      <c r="AM5" s="210">
        <v>46161</v>
      </c>
      <c r="AN5" s="210">
        <v>46162</v>
      </c>
      <c r="AO5" s="210">
        <v>46168</v>
      </c>
      <c r="AP5" s="210">
        <v>46169</v>
      </c>
      <c r="AQ5" s="210">
        <v>46175</v>
      </c>
      <c r="AR5" s="210">
        <v>46176</v>
      </c>
      <c r="AS5" s="210">
        <v>46182</v>
      </c>
      <c r="AT5" s="210">
        <v>46183</v>
      </c>
      <c r="AU5" s="210">
        <v>46189</v>
      </c>
      <c r="AV5" s="210">
        <v>46190</v>
      </c>
      <c r="AW5" s="210">
        <v>46196</v>
      </c>
      <c r="AX5" s="210">
        <v>46197</v>
      </c>
      <c r="AY5" s="210">
        <v>46203</v>
      </c>
      <c r="AZ5" s="210">
        <v>46204</v>
      </c>
      <c r="BA5" s="210">
        <v>46210</v>
      </c>
      <c r="BB5" s="210">
        <v>46211</v>
      </c>
      <c r="BC5" s="160"/>
    </row>
    <row r="6" spans="1:55">
      <c r="B6" s="198" t="s">
        <v>475</v>
      </c>
      <c r="C6" s="200" t="s">
        <v>476</v>
      </c>
      <c r="L6" s="252" t="s">
        <v>475</v>
      </c>
      <c r="M6" s="245" t="s">
        <v>476</v>
      </c>
      <c r="O6" s="206">
        <v>2</v>
      </c>
      <c r="P6" s="207">
        <v>46113</v>
      </c>
      <c r="Q6" s="200" t="s">
        <v>494</v>
      </c>
      <c r="R6" s="200" t="s">
        <v>493</v>
      </c>
      <c r="S6" s="206">
        <v>4</v>
      </c>
      <c r="T6" s="206">
        <v>8</v>
      </c>
      <c r="V6" s="211" t="s">
        <v>498</v>
      </c>
      <c r="W6" s="211" t="s">
        <v>30</v>
      </c>
      <c r="X6" s="212">
        <f t="shared" ref="X6:X28" si="0">COUNTIF(Y6:BB6,"P")</f>
        <v>0</v>
      </c>
      <c r="Y6" s="213"/>
      <c r="Z6" s="213"/>
      <c r="AA6" s="213"/>
      <c r="AB6" s="213"/>
      <c r="AC6" s="213"/>
      <c r="AD6" s="213"/>
      <c r="AE6" s="213"/>
      <c r="AF6" s="213"/>
      <c r="AG6" s="213"/>
      <c r="AH6" s="213"/>
      <c r="AI6" s="213"/>
      <c r="AJ6" s="213"/>
      <c r="AK6" s="213"/>
      <c r="AL6" s="213"/>
      <c r="AM6" s="213"/>
      <c r="AN6" s="213"/>
      <c r="AO6" s="213"/>
      <c r="AP6" s="213"/>
      <c r="AQ6" s="213"/>
      <c r="AR6" s="213"/>
      <c r="AS6" s="213"/>
      <c r="AT6" s="213"/>
      <c r="AU6" s="213"/>
      <c r="AV6" s="213"/>
      <c r="AW6" s="213"/>
      <c r="AX6" s="213"/>
      <c r="AY6" s="213"/>
      <c r="AZ6" s="213"/>
      <c r="BA6" s="213"/>
      <c r="BB6" s="213"/>
      <c r="BC6" s="160"/>
    </row>
    <row r="7" spans="1:55">
      <c r="B7" s="198" t="s">
        <v>484</v>
      </c>
      <c r="C7" s="201">
        <v>46211</v>
      </c>
      <c r="L7" s="252" t="s">
        <v>477</v>
      </c>
      <c r="M7" s="245" t="s">
        <v>478</v>
      </c>
      <c r="O7" s="203">
        <v>3</v>
      </c>
      <c r="P7" s="204">
        <v>46119</v>
      </c>
      <c r="Q7" s="205" t="s">
        <v>492</v>
      </c>
      <c r="R7" s="205" t="s">
        <v>493</v>
      </c>
      <c r="S7" s="203">
        <v>4</v>
      </c>
      <c r="T7" s="203">
        <v>12</v>
      </c>
      <c r="V7" s="214" t="s">
        <v>498</v>
      </c>
      <c r="W7" s="214" t="s">
        <v>500</v>
      </c>
      <c r="X7" s="209">
        <f t="shared" si="0"/>
        <v>0</v>
      </c>
      <c r="Y7" s="215"/>
      <c r="Z7" s="215"/>
      <c r="AA7" s="215"/>
      <c r="AB7" s="215"/>
      <c r="AC7" s="215"/>
      <c r="AD7" s="215"/>
      <c r="AE7" s="215"/>
      <c r="AF7" s="215"/>
      <c r="AG7" s="215"/>
      <c r="AH7" s="215"/>
      <c r="AI7" s="215"/>
      <c r="AJ7" s="215"/>
      <c r="AK7" s="215"/>
      <c r="AL7" s="215"/>
      <c r="AM7" s="215"/>
      <c r="AN7" s="215"/>
      <c r="AO7" s="215"/>
      <c r="AP7" s="215"/>
      <c r="AQ7" s="215"/>
      <c r="AR7" s="215"/>
      <c r="AS7" s="215"/>
      <c r="AT7" s="215"/>
      <c r="AU7" s="215"/>
      <c r="AV7" s="215"/>
      <c r="AW7" s="215"/>
      <c r="AX7" s="215"/>
      <c r="AY7" s="215"/>
      <c r="AZ7" s="215"/>
      <c r="BA7" s="215"/>
      <c r="BB7" s="215"/>
      <c r="BC7" s="160"/>
    </row>
    <row r="8" spans="1:55" ht="17.399999999999999">
      <c r="B8" s="528" t="s">
        <v>495</v>
      </c>
      <c r="C8" s="482"/>
      <c r="D8" s="482"/>
      <c r="L8" s="252" t="s">
        <v>479</v>
      </c>
      <c r="M8" s="246">
        <v>4</v>
      </c>
      <c r="O8" s="206">
        <v>4</v>
      </c>
      <c r="P8" s="207">
        <v>46120</v>
      </c>
      <c r="Q8" s="200" t="s">
        <v>494</v>
      </c>
      <c r="R8" s="200" t="s">
        <v>493</v>
      </c>
      <c r="S8" s="206">
        <v>4</v>
      </c>
      <c r="T8" s="206">
        <v>16</v>
      </c>
      <c r="V8" s="211" t="s">
        <v>498</v>
      </c>
      <c r="W8" s="211" t="s">
        <v>79</v>
      </c>
      <c r="X8" s="212">
        <f t="shared" si="0"/>
        <v>0</v>
      </c>
      <c r="Y8" s="213"/>
      <c r="Z8" s="213"/>
      <c r="AA8" s="213"/>
      <c r="AB8" s="213"/>
      <c r="AC8" s="213"/>
      <c r="AD8" s="213"/>
      <c r="AE8" s="213"/>
      <c r="AF8" s="213"/>
      <c r="AG8" s="213"/>
      <c r="AH8" s="213"/>
      <c r="AI8" s="213"/>
      <c r="AJ8" s="213"/>
      <c r="AK8" s="213"/>
      <c r="AL8" s="213"/>
      <c r="AM8" s="213"/>
      <c r="AN8" s="213"/>
      <c r="AO8" s="213"/>
      <c r="AP8" s="213"/>
      <c r="AQ8" s="213"/>
      <c r="AR8" s="213"/>
      <c r="AS8" s="213"/>
      <c r="AT8" s="213"/>
      <c r="AU8" s="213"/>
      <c r="AV8" s="213"/>
      <c r="AW8" s="213"/>
      <c r="AX8" s="213"/>
      <c r="AY8" s="213"/>
      <c r="AZ8" s="213"/>
      <c r="BA8" s="213"/>
      <c r="BB8" s="213"/>
      <c r="BC8" s="160"/>
    </row>
    <row r="9" spans="1:55">
      <c r="B9" s="202" t="s">
        <v>496</v>
      </c>
      <c r="C9" s="202" t="s">
        <v>497</v>
      </c>
      <c r="D9" s="202" t="s">
        <v>120</v>
      </c>
      <c r="L9" s="252" t="s">
        <v>480</v>
      </c>
      <c r="M9" s="245">
        <f>M8*2</f>
        <v>8</v>
      </c>
      <c r="O9" s="203">
        <v>5</v>
      </c>
      <c r="P9" s="204">
        <v>46126</v>
      </c>
      <c r="Q9" s="205" t="s">
        <v>492</v>
      </c>
      <c r="R9" s="205" t="s">
        <v>493</v>
      </c>
      <c r="S9" s="203">
        <v>4</v>
      </c>
      <c r="T9" s="203">
        <v>20</v>
      </c>
      <c r="V9" s="214" t="s">
        <v>498</v>
      </c>
      <c r="W9" s="214" t="s">
        <v>501</v>
      </c>
      <c r="X9" s="209">
        <f t="shared" si="0"/>
        <v>0</v>
      </c>
      <c r="Y9" s="215"/>
      <c r="Z9" s="215"/>
      <c r="AA9" s="215"/>
      <c r="AB9" s="215"/>
      <c r="AC9" s="215"/>
      <c r="AD9" s="215"/>
      <c r="AE9" s="215"/>
      <c r="AF9" s="215"/>
      <c r="AG9" s="215"/>
      <c r="AH9" s="215"/>
      <c r="AI9" s="215"/>
      <c r="AJ9" s="215"/>
      <c r="AK9" s="215"/>
      <c r="AL9" s="215"/>
      <c r="AM9" s="215"/>
      <c r="AN9" s="215"/>
      <c r="AO9" s="215"/>
      <c r="AP9" s="215"/>
      <c r="AQ9" s="215"/>
      <c r="AR9" s="215"/>
      <c r="AS9" s="215"/>
      <c r="AT9" s="215"/>
      <c r="AU9" s="215"/>
      <c r="AV9" s="215"/>
      <c r="AW9" s="215"/>
      <c r="AX9" s="215"/>
      <c r="AY9" s="215"/>
      <c r="AZ9" s="215"/>
      <c r="BA9" s="215"/>
      <c r="BB9" s="215"/>
      <c r="BC9" s="160"/>
    </row>
    <row r="10" spans="1:55">
      <c r="A10">
        <v>1</v>
      </c>
      <c r="B10" s="208" t="s">
        <v>498</v>
      </c>
      <c r="C10" s="208" t="s">
        <v>30</v>
      </c>
      <c r="D10" s="208" t="s">
        <v>499</v>
      </c>
      <c r="L10" s="252" t="s">
        <v>481</v>
      </c>
      <c r="M10" s="246">
        <v>120</v>
      </c>
      <c r="O10" s="206">
        <v>6</v>
      </c>
      <c r="P10" s="207">
        <v>46127</v>
      </c>
      <c r="Q10" s="200" t="s">
        <v>494</v>
      </c>
      <c r="R10" s="200" t="s">
        <v>493</v>
      </c>
      <c r="S10" s="206">
        <v>4</v>
      </c>
      <c r="T10" s="206">
        <v>24</v>
      </c>
      <c r="V10" s="211" t="s">
        <v>502</v>
      </c>
      <c r="W10" s="211" t="s">
        <v>503</v>
      </c>
      <c r="X10" s="212">
        <f t="shared" si="0"/>
        <v>0</v>
      </c>
      <c r="Y10" s="213"/>
      <c r="Z10" s="213"/>
      <c r="AA10" s="213"/>
      <c r="AB10" s="213"/>
      <c r="AC10" s="213"/>
      <c r="AD10" s="213"/>
      <c r="AE10" s="213"/>
      <c r="AF10" s="213"/>
      <c r="AG10" s="213"/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  <c r="BC10" s="160"/>
    </row>
    <row r="11" spans="1:55">
      <c r="A11">
        <v>2</v>
      </c>
      <c r="B11" s="209" t="s">
        <v>498</v>
      </c>
      <c r="C11" s="209" t="s">
        <v>500</v>
      </c>
      <c r="D11" s="209" t="s">
        <v>499</v>
      </c>
      <c r="L11" s="252" t="s">
        <v>482</v>
      </c>
      <c r="M11" s="247">
        <v>15</v>
      </c>
      <c r="O11" s="203">
        <v>7</v>
      </c>
      <c r="P11" s="204">
        <v>46133</v>
      </c>
      <c r="Q11" s="205" t="s">
        <v>492</v>
      </c>
      <c r="R11" s="205" t="s">
        <v>493</v>
      </c>
      <c r="S11" s="203">
        <v>4</v>
      </c>
      <c r="T11" s="203">
        <v>28</v>
      </c>
      <c r="V11" s="214" t="s">
        <v>502</v>
      </c>
      <c r="W11" s="214" t="s">
        <v>504</v>
      </c>
      <c r="X11" s="209">
        <f t="shared" si="0"/>
        <v>0</v>
      </c>
      <c r="Y11" s="215"/>
      <c r="Z11" s="215"/>
      <c r="AA11" s="215"/>
      <c r="AB11" s="215"/>
      <c r="AC11" s="215"/>
      <c r="AD11" s="215"/>
      <c r="AE11" s="215"/>
      <c r="AF11" s="215"/>
      <c r="AG11" s="215"/>
      <c r="AH11" s="215"/>
      <c r="AI11" s="215"/>
      <c r="AJ11" s="215"/>
      <c r="AK11" s="215"/>
      <c r="AL11" s="215"/>
      <c r="AM11" s="215"/>
      <c r="AN11" s="215"/>
      <c r="AO11" s="215"/>
      <c r="AP11" s="215"/>
      <c r="AQ11" s="215"/>
      <c r="AR11" s="215"/>
      <c r="AS11" s="215"/>
      <c r="AT11" s="215"/>
      <c r="AU11" s="215"/>
      <c r="AV11" s="215"/>
      <c r="AW11" s="215"/>
      <c r="AX11" s="215"/>
      <c r="AY11" s="215"/>
      <c r="AZ11" s="215"/>
      <c r="BA11" s="215"/>
      <c r="BB11" s="215"/>
      <c r="BC11" s="160"/>
    </row>
    <row r="12" spans="1:55">
      <c r="A12" s="191">
        <v>3</v>
      </c>
      <c r="B12" s="208" t="s">
        <v>498</v>
      </c>
      <c r="C12" s="208" t="s">
        <v>79</v>
      </c>
      <c r="D12" s="208" t="s">
        <v>499</v>
      </c>
      <c r="L12" s="252" t="s">
        <v>483</v>
      </c>
      <c r="M12" s="248">
        <v>30</v>
      </c>
      <c r="O12" s="206">
        <v>8</v>
      </c>
      <c r="P12" s="207">
        <v>46134</v>
      </c>
      <c r="Q12" s="200" t="s">
        <v>494</v>
      </c>
      <c r="R12" s="200" t="s">
        <v>493</v>
      </c>
      <c r="S12" s="206">
        <v>4</v>
      </c>
      <c r="T12" s="206">
        <v>32</v>
      </c>
      <c r="V12" s="211" t="s">
        <v>502</v>
      </c>
      <c r="W12" s="211" t="s">
        <v>505</v>
      </c>
      <c r="X12" s="212">
        <f t="shared" si="0"/>
        <v>0</v>
      </c>
      <c r="Y12" s="213"/>
      <c r="Z12" s="213"/>
      <c r="AA12" s="213"/>
      <c r="AB12" s="213"/>
      <c r="AC12" s="213"/>
      <c r="AD12" s="213"/>
      <c r="AE12" s="213"/>
      <c r="AF12" s="213"/>
      <c r="AG12" s="213"/>
      <c r="AH12" s="213"/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  <c r="BC12" s="160"/>
    </row>
    <row r="13" spans="1:55">
      <c r="A13" s="191">
        <v>4</v>
      </c>
      <c r="B13" s="209" t="s">
        <v>498</v>
      </c>
      <c r="C13" s="209" t="s">
        <v>501</v>
      </c>
      <c r="D13" s="209" t="s">
        <v>499</v>
      </c>
      <c r="L13" s="252" t="s">
        <v>484</v>
      </c>
      <c r="M13" s="249">
        <v>46211</v>
      </c>
      <c r="O13" s="203">
        <v>9</v>
      </c>
      <c r="P13" s="204">
        <v>46140</v>
      </c>
      <c r="Q13" s="205" t="s">
        <v>492</v>
      </c>
      <c r="R13" s="205" t="s">
        <v>493</v>
      </c>
      <c r="S13" s="203">
        <v>4</v>
      </c>
      <c r="T13" s="203">
        <v>36</v>
      </c>
      <c r="V13" s="214" t="s">
        <v>502</v>
      </c>
      <c r="W13" s="214" t="s">
        <v>506</v>
      </c>
      <c r="X13" s="209">
        <f t="shared" si="0"/>
        <v>0</v>
      </c>
      <c r="Y13" s="215"/>
      <c r="Z13" s="215"/>
      <c r="AA13" s="215"/>
      <c r="AB13" s="215"/>
      <c r="AC13" s="215"/>
      <c r="AD13" s="215"/>
      <c r="AE13" s="215"/>
      <c r="AF13" s="215"/>
      <c r="AG13" s="215"/>
      <c r="AH13" s="215"/>
      <c r="AI13" s="215"/>
      <c r="AJ13" s="215"/>
      <c r="AK13" s="215"/>
      <c r="AL13" s="215"/>
      <c r="AM13" s="215"/>
      <c r="AN13" s="215"/>
      <c r="AO13" s="215"/>
      <c r="AP13" s="215"/>
      <c r="AQ13" s="215"/>
      <c r="AR13" s="215"/>
      <c r="AS13" s="215"/>
      <c r="AT13" s="215"/>
      <c r="AU13" s="215"/>
      <c r="AV13" s="215"/>
      <c r="AW13" s="215"/>
      <c r="AX13" s="215"/>
      <c r="AY13" s="215"/>
      <c r="AZ13" s="215"/>
      <c r="BA13" s="215"/>
      <c r="BB13" s="215"/>
      <c r="BC13" s="160"/>
    </row>
    <row r="14" spans="1:55" ht="15" thickBot="1">
      <c r="A14" s="191">
        <v>5</v>
      </c>
      <c r="B14" s="208" t="s">
        <v>502</v>
      </c>
      <c r="C14" s="208" t="s">
        <v>503</v>
      </c>
      <c r="D14" s="208" t="s">
        <v>499</v>
      </c>
      <c r="L14" s="253" t="s">
        <v>485</v>
      </c>
      <c r="M14" s="250">
        <v>23</v>
      </c>
      <c r="O14" s="206">
        <v>10</v>
      </c>
      <c r="P14" s="207">
        <v>46141</v>
      </c>
      <c r="Q14" s="200" t="s">
        <v>494</v>
      </c>
      <c r="R14" s="200" t="s">
        <v>493</v>
      </c>
      <c r="S14" s="206">
        <v>4</v>
      </c>
      <c r="T14" s="206">
        <v>40</v>
      </c>
      <c r="V14" s="211" t="s">
        <v>502</v>
      </c>
      <c r="W14" s="211" t="s">
        <v>507</v>
      </c>
      <c r="X14" s="212">
        <f t="shared" si="0"/>
        <v>0</v>
      </c>
      <c r="Y14" s="213"/>
      <c r="Z14" s="213"/>
      <c r="AA14" s="213"/>
      <c r="AB14" s="213"/>
      <c r="AC14" s="213"/>
      <c r="AD14" s="213"/>
      <c r="AE14" s="213"/>
      <c r="AF14" s="213"/>
      <c r="AG14" s="213"/>
      <c r="AH14" s="213"/>
      <c r="AI14" s="213"/>
      <c r="AJ14" s="213"/>
      <c r="AK14" s="213"/>
      <c r="AL14" s="213"/>
      <c r="AM14" s="213"/>
      <c r="AN14" s="213"/>
      <c r="AO14" s="213"/>
      <c r="AP14" s="213"/>
      <c r="AQ14" s="213"/>
      <c r="AR14" s="213"/>
      <c r="AS14" s="213"/>
      <c r="AT14" s="213"/>
      <c r="AU14" s="213"/>
      <c r="AV14" s="213"/>
      <c r="AW14" s="213"/>
      <c r="AX14" s="213"/>
      <c r="AY14" s="213"/>
      <c r="AZ14" s="213"/>
      <c r="BA14" s="213"/>
      <c r="BB14" s="213"/>
      <c r="BC14" s="160"/>
    </row>
    <row r="15" spans="1:55">
      <c r="A15" s="191">
        <v>6</v>
      </c>
      <c r="B15" s="209" t="s">
        <v>502</v>
      </c>
      <c r="C15" s="209" t="s">
        <v>504</v>
      </c>
      <c r="D15" s="209" t="s">
        <v>499</v>
      </c>
      <c r="O15" s="203">
        <v>11</v>
      </c>
      <c r="P15" s="204">
        <v>46147</v>
      </c>
      <c r="Q15" s="205" t="s">
        <v>492</v>
      </c>
      <c r="R15" s="205" t="s">
        <v>493</v>
      </c>
      <c r="S15" s="203">
        <v>4</v>
      </c>
      <c r="T15" s="203">
        <v>44</v>
      </c>
      <c r="V15" s="214" t="s">
        <v>502</v>
      </c>
      <c r="W15" s="214" t="s">
        <v>508</v>
      </c>
      <c r="X15" s="209">
        <f t="shared" si="0"/>
        <v>0</v>
      </c>
      <c r="Y15" s="215"/>
      <c r="Z15" s="215"/>
      <c r="AA15" s="215"/>
      <c r="AB15" s="215"/>
      <c r="AC15" s="215"/>
      <c r="AD15" s="215"/>
      <c r="AE15" s="215"/>
      <c r="AF15" s="215"/>
      <c r="AG15" s="215"/>
      <c r="AH15" s="215"/>
      <c r="AI15" s="215"/>
      <c r="AJ15" s="215"/>
      <c r="AK15" s="215"/>
      <c r="AL15" s="215"/>
      <c r="AM15" s="215"/>
      <c r="AN15" s="215"/>
      <c r="AO15" s="215"/>
      <c r="AP15" s="215"/>
      <c r="AQ15" s="215"/>
      <c r="AR15" s="215"/>
      <c r="AS15" s="215"/>
      <c r="AT15" s="215"/>
      <c r="AU15" s="215"/>
      <c r="AV15" s="215"/>
      <c r="AW15" s="215"/>
      <c r="AX15" s="215"/>
      <c r="AY15" s="215"/>
      <c r="AZ15" s="215"/>
      <c r="BA15" s="215"/>
      <c r="BB15" s="215"/>
      <c r="BC15" s="160"/>
    </row>
    <row r="16" spans="1:55" ht="15" thickBot="1">
      <c r="A16" s="191">
        <v>7</v>
      </c>
      <c r="B16" s="208" t="s">
        <v>502</v>
      </c>
      <c r="C16" s="208" t="s">
        <v>505</v>
      </c>
      <c r="D16" s="208" t="s">
        <v>499</v>
      </c>
      <c r="O16" s="206">
        <v>12</v>
      </c>
      <c r="P16" s="207">
        <v>46148</v>
      </c>
      <c r="Q16" s="200" t="s">
        <v>494</v>
      </c>
      <c r="R16" s="200" t="s">
        <v>493</v>
      </c>
      <c r="S16" s="206">
        <v>4</v>
      </c>
      <c r="T16" s="206">
        <v>48</v>
      </c>
      <c r="V16" s="211" t="s">
        <v>502</v>
      </c>
      <c r="W16" s="211" t="s">
        <v>509</v>
      </c>
      <c r="X16" s="212">
        <f t="shared" si="0"/>
        <v>0</v>
      </c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3"/>
      <c r="AO16" s="213"/>
      <c r="AP16" s="213"/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213"/>
      <c r="BB16" s="213"/>
      <c r="BC16" s="160"/>
    </row>
    <row r="17" spans="1:55">
      <c r="A17" s="191">
        <v>8</v>
      </c>
      <c r="B17" s="209" t="s">
        <v>502</v>
      </c>
      <c r="C17" s="209" t="s">
        <v>506</v>
      </c>
      <c r="D17" s="209" t="s">
        <v>499</v>
      </c>
      <c r="L17" s="531" t="s">
        <v>457</v>
      </c>
      <c r="M17" s="531">
        <v>95509</v>
      </c>
      <c r="O17" s="203">
        <v>13</v>
      </c>
      <c r="P17" s="204">
        <v>46154</v>
      </c>
      <c r="Q17" s="205" t="s">
        <v>492</v>
      </c>
      <c r="R17" s="205" t="s">
        <v>493</v>
      </c>
      <c r="S17" s="203">
        <v>4</v>
      </c>
      <c r="T17" s="203">
        <v>52</v>
      </c>
      <c r="V17" s="214" t="s">
        <v>502</v>
      </c>
      <c r="W17" s="214" t="s">
        <v>510</v>
      </c>
      <c r="X17" s="209">
        <f t="shared" si="0"/>
        <v>0</v>
      </c>
      <c r="Y17" s="215"/>
      <c r="Z17" s="215"/>
      <c r="AA17" s="215"/>
      <c r="AB17" s="215"/>
      <c r="AC17" s="215"/>
      <c r="AD17" s="215"/>
      <c r="AE17" s="215"/>
      <c r="AF17" s="215"/>
      <c r="AG17" s="215"/>
      <c r="AH17" s="215"/>
      <c r="AI17" s="215"/>
      <c r="AJ17" s="215"/>
      <c r="AK17" s="215"/>
      <c r="AL17" s="215"/>
      <c r="AM17" s="215"/>
      <c r="AN17" s="215"/>
      <c r="AO17" s="215"/>
      <c r="AP17" s="215"/>
      <c r="AQ17" s="215"/>
      <c r="AR17" s="215"/>
      <c r="AS17" s="215"/>
      <c r="AT17" s="215"/>
      <c r="AU17" s="215"/>
      <c r="AV17" s="215"/>
      <c r="AW17" s="215"/>
      <c r="AX17" s="215"/>
      <c r="AY17" s="215"/>
      <c r="AZ17" s="215"/>
      <c r="BA17" s="215"/>
      <c r="BB17" s="215"/>
      <c r="BC17" s="160"/>
    </row>
    <row r="18" spans="1:55" ht="15" thickBot="1">
      <c r="A18" s="191">
        <v>9</v>
      </c>
      <c r="B18" s="208" t="s">
        <v>502</v>
      </c>
      <c r="C18" s="208" t="s">
        <v>507</v>
      </c>
      <c r="D18" s="208" t="s">
        <v>499</v>
      </c>
      <c r="L18" s="532"/>
      <c r="M18" s="532"/>
      <c r="O18" s="206">
        <v>14</v>
      </c>
      <c r="P18" s="207">
        <v>46155</v>
      </c>
      <c r="Q18" s="200" t="s">
        <v>494</v>
      </c>
      <c r="R18" s="200" t="s">
        <v>493</v>
      </c>
      <c r="S18" s="206">
        <v>4</v>
      </c>
      <c r="T18" s="206">
        <v>56</v>
      </c>
      <c r="V18" s="211" t="s">
        <v>502</v>
      </c>
      <c r="W18" s="211" t="s">
        <v>511</v>
      </c>
      <c r="X18" s="212">
        <f t="shared" si="0"/>
        <v>0</v>
      </c>
      <c r="Y18" s="213"/>
      <c r="Z18" s="213"/>
      <c r="AA18" s="213"/>
      <c r="AB18" s="213"/>
      <c r="AC18" s="213"/>
      <c r="AD18" s="213"/>
      <c r="AE18" s="213"/>
      <c r="AF18" s="213"/>
      <c r="AG18" s="213"/>
      <c r="AH18" s="213"/>
      <c r="AI18" s="213"/>
      <c r="AJ18" s="213"/>
      <c r="AK18" s="213"/>
      <c r="AL18" s="213"/>
      <c r="AM18" s="213"/>
      <c r="AN18" s="213"/>
      <c r="AO18" s="213"/>
      <c r="AP18" s="213"/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213"/>
      <c r="BC18" s="160"/>
    </row>
    <row r="19" spans="1:55">
      <c r="A19" s="191">
        <v>10</v>
      </c>
      <c r="B19" s="209" t="s">
        <v>502</v>
      </c>
      <c r="C19" s="209" t="s">
        <v>508</v>
      </c>
      <c r="D19" s="209" t="s">
        <v>499</v>
      </c>
      <c r="M19" s="420">
        <v>95509</v>
      </c>
      <c r="O19" s="203">
        <v>15</v>
      </c>
      <c r="P19" s="204">
        <v>46161</v>
      </c>
      <c r="Q19" s="205" t="s">
        <v>492</v>
      </c>
      <c r="R19" s="205" t="s">
        <v>493</v>
      </c>
      <c r="S19" s="203">
        <v>4</v>
      </c>
      <c r="T19" s="203">
        <v>60</v>
      </c>
      <c r="V19" s="214" t="s">
        <v>502</v>
      </c>
      <c r="W19" s="214" t="s">
        <v>512</v>
      </c>
      <c r="X19" s="209">
        <f t="shared" si="0"/>
        <v>0</v>
      </c>
      <c r="Y19" s="215"/>
      <c r="Z19" s="215"/>
      <c r="AA19" s="215"/>
      <c r="AB19" s="215"/>
      <c r="AC19" s="215"/>
      <c r="AD19" s="215"/>
      <c r="AE19" s="215"/>
      <c r="AF19" s="215"/>
      <c r="AG19" s="215"/>
      <c r="AH19" s="215"/>
      <c r="AI19" s="215"/>
      <c r="AJ19" s="215"/>
      <c r="AK19" s="215"/>
      <c r="AL19" s="215"/>
      <c r="AM19" s="215"/>
      <c r="AN19" s="215"/>
      <c r="AO19" s="215"/>
      <c r="AP19" s="215"/>
      <c r="AQ19" s="215"/>
      <c r="AR19" s="215"/>
      <c r="AS19" s="215"/>
      <c r="AT19" s="215"/>
      <c r="AU19" s="215"/>
      <c r="AV19" s="215"/>
      <c r="AW19" s="215"/>
      <c r="AX19" s="215"/>
      <c r="AY19" s="215"/>
      <c r="AZ19" s="215"/>
      <c r="BA19" s="215"/>
      <c r="BB19" s="215"/>
      <c r="BC19" s="160"/>
    </row>
    <row r="20" spans="1:55">
      <c r="A20" s="191">
        <v>11</v>
      </c>
      <c r="B20" s="208" t="s">
        <v>502</v>
      </c>
      <c r="C20" s="208" t="s">
        <v>509</v>
      </c>
      <c r="D20" s="208" t="s">
        <v>499</v>
      </c>
      <c r="O20" s="206">
        <v>16</v>
      </c>
      <c r="P20" s="207">
        <v>46162</v>
      </c>
      <c r="Q20" s="200" t="s">
        <v>494</v>
      </c>
      <c r="R20" s="200" t="s">
        <v>493</v>
      </c>
      <c r="S20" s="206">
        <v>4</v>
      </c>
      <c r="T20" s="206">
        <v>64</v>
      </c>
      <c r="V20" s="211" t="s">
        <v>502</v>
      </c>
      <c r="W20" s="211" t="s">
        <v>513</v>
      </c>
      <c r="X20" s="212">
        <f t="shared" si="0"/>
        <v>0</v>
      </c>
      <c r="Y20" s="213"/>
      <c r="Z20" s="213"/>
      <c r="AA20" s="213"/>
      <c r="AB20" s="213"/>
      <c r="AC20" s="213"/>
      <c r="AD20" s="213"/>
      <c r="AE20" s="213"/>
      <c r="AF20" s="213"/>
      <c r="AG20" s="213"/>
      <c r="AH20" s="213"/>
      <c r="AI20" s="213"/>
      <c r="AJ20" s="213"/>
      <c r="AK20" s="213"/>
      <c r="AL20" s="213"/>
      <c r="AM20" s="213"/>
      <c r="AN20" s="213"/>
      <c r="AO20" s="213"/>
      <c r="AP20" s="213"/>
      <c r="AQ20" s="213"/>
      <c r="AR20" s="213"/>
      <c r="AS20" s="213"/>
      <c r="AT20" s="213"/>
      <c r="AU20" s="213"/>
      <c r="AV20" s="213"/>
      <c r="AW20" s="213"/>
      <c r="AX20" s="213"/>
      <c r="AY20" s="213"/>
      <c r="AZ20" s="213"/>
      <c r="BA20" s="213"/>
      <c r="BB20" s="213"/>
      <c r="BC20" s="160"/>
    </row>
    <row r="21" spans="1:55">
      <c r="A21" s="191">
        <v>12</v>
      </c>
      <c r="B21" s="209" t="s">
        <v>502</v>
      </c>
      <c r="C21" s="209" t="s">
        <v>510</v>
      </c>
      <c r="D21" s="209" t="s">
        <v>499</v>
      </c>
      <c r="O21" s="203">
        <v>17</v>
      </c>
      <c r="P21" s="204">
        <v>46168</v>
      </c>
      <c r="Q21" s="205" t="s">
        <v>492</v>
      </c>
      <c r="R21" s="205" t="s">
        <v>493</v>
      </c>
      <c r="S21" s="203">
        <v>4</v>
      </c>
      <c r="T21" s="203">
        <v>68</v>
      </c>
      <c r="V21" s="214" t="s">
        <v>502</v>
      </c>
      <c r="W21" s="214" t="s">
        <v>514</v>
      </c>
      <c r="X21" s="209">
        <f t="shared" si="0"/>
        <v>0</v>
      </c>
      <c r="Y21" s="215"/>
      <c r="Z21" s="215"/>
      <c r="AA21" s="215"/>
      <c r="AB21" s="215"/>
      <c r="AC21" s="215"/>
      <c r="AD21" s="215"/>
      <c r="AE21" s="215"/>
      <c r="AF21" s="215"/>
      <c r="AG21" s="215"/>
      <c r="AH21" s="215"/>
      <c r="AI21" s="215"/>
      <c r="AJ21" s="215"/>
      <c r="AK21" s="215"/>
      <c r="AL21" s="215"/>
      <c r="AM21" s="215"/>
      <c r="AN21" s="215"/>
      <c r="AO21" s="215"/>
      <c r="AP21" s="215"/>
      <c r="AQ21" s="215"/>
      <c r="AR21" s="215"/>
      <c r="AS21" s="215"/>
      <c r="AT21" s="215"/>
      <c r="AU21" s="215"/>
      <c r="AV21" s="215"/>
      <c r="AW21" s="215"/>
      <c r="AX21" s="215"/>
      <c r="AY21" s="215"/>
      <c r="AZ21" s="215"/>
      <c r="BA21" s="215"/>
      <c r="BB21" s="215"/>
      <c r="BC21" s="160"/>
    </row>
    <row r="22" spans="1:55">
      <c r="A22" s="191">
        <v>13</v>
      </c>
      <c r="B22" s="208" t="s">
        <v>502</v>
      </c>
      <c r="C22" s="208" t="s">
        <v>511</v>
      </c>
      <c r="D22" s="208" t="s">
        <v>499</v>
      </c>
      <c r="O22" s="206">
        <v>18</v>
      </c>
      <c r="P22" s="207">
        <v>46169</v>
      </c>
      <c r="Q22" s="200" t="s">
        <v>494</v>
      </c>
      <c r="R22" s="200" t="s">
        <v>493</v>
      </c>
      <c r="S22" s="206">
        <v>4</v>
      </c>
      <c r="T22" s="206">
        <v>72</v>
      </c>
      <c r="V22" s="211" t="s">
        <v>502</v>
      </c>
      <c r="W22" s="211" t="s">
        <v>515</v>
      </c>
      <c r="X22" s="212">
        <f t="shared" si="0"/>
        <v>0</v>
      </c>
      <c r="Y22" s="213"/>
      <c r="Z22" s="213"/>
      <c r="AA22" s="213"/>
      <c r="AB22" s="213"/>
      <c r="AC22" s="213"/>
      <c r="AD22" s="213"/>
      <c r="AE22" s="213"/>
      <c r="AF22" s="213"/>
      <c r="AG22" s="213"/>
      <c r="AH22" s="213"/>
      <c r="AI22" s="213"/>
      <c r="AJ22" s="213"/>
      <c r="AK22" s="213"/>
      <c r="AL22" s="213"/>
      <c r="AM22" s="213"/>
      <c r="AN22" s="213"/>
      <c r="AO22" s="213"/>
      <c r="AP22" s="213"/>
      <c r="AQ22" s="213"/>
      <c r="AR22" s="213"/>
      <c r="AS22" s="213"/>
      <c r="AT22" s="213"/>
      <c r="AU22" s="213"/>
      <c r="AV22" s="213"/>
      <c r="AW22" s="213"/>
      <c r="AX22" s="213"/>
      <c r="AY22" s="213"/>
      <c r="AZ22" s="213"/>
      <c r="BA22" s="213"/>
      <c r="BB22" s="213"/>
      <c r="BC22" s="160"/>
    </row>
    <row r="23" spans="1:55">
      <c r="A23" s="191">
        <v>14</v>
      </c>
      <c r="B23" s="209" t="s">
        <v>502</v>
      </c>
      <c r="C23" s="209" t="s">
        <v>512</v>
      </c>
      <c r="D23" s="209" t="s">
        <v>499</v>
      </c>
      <c r="O23" s="203">
        <v>19</v>
      </c>
      <c r="P23" s="204">
        <v>46175</v>
      </c>
      <c r="Q23" s="205" t="s">
        <v>492</v>
      </c>
      <c r="R23" s="205" t="s">
        <v>493</v>
      </c>
      <c r="S23" s="203">
        <v>4</v>
      </c>
      <c r="T23" s="203">
        <v>76</v>
      </c>
      <c r="V23" s="214" t="s">
        <v>502</v>
      </c>
      <c r="W23" s="214" t="s">
        <v>516</v>
      </c>
      <c r="X23" s="209">
        <f t="shared" si="0"/>
        <v>0</v>
      </c>
      <c r="Y23" s="215"/>
      <c r="Z23" s="215"/>
      <c r="AA23" s="215"/>
      <c r="AB23" s="215"/>
      <c r="AC23" s="215"/>
      <c r="AD23" s="215"/>
      <c r="AE23" s="215"/>
      <c r="AF23" s="215"/>
      <c r="AG23" s="215"/>
      <c r="AH23" s="215"/>
      <c r="AI23" s="215"/>
      <c r="AJ23" s="215"/>
      <c r="AK23" s="215"/>
      <c r="AL23" s="215"/>
      <c r="AM23" s="215"/>
      <c r="AN23" s="215"/>
      <c r="AO23" s="215"/>
      <c r="AP23" s="215"/>
      <c r="AQ23" s="215"/>
      <c r="AR23" s="215"/>
      <c r="AS23" s="215"/>
      <c r="AT23" s="215"/>
      <c r="AU23" s="215"/>
      <c r="AV23" s="215"/>
      <c r="AW23" s="215"/>
      <c r="AX23" s="215"/>
      <c r="AY23" s="215"/>
      <c r="AZ23" s="215"/>
      <c r="BA23" s="215"/>
      <c r="BB23" s="215"/>
      <c r="BC23" s="160"/>
    </row>
    <row r="24" spans="1:55">
      <c r="A24" s="191">
        <v>15</v>
      </c>
      <c r="B24" s="208" t="s">
        <v>502</v>
      </c>
      <c r="C24" s="208" t="s">
        <v>513</v>
      </c>
      <c r="D24" s="208" t="s">
        <v>499</v>
      </c>
      <c r="O24" s="206">
        <v>20</v>
      </c>
      <c r="P24" s="207">
        <v>46176</v>
      </c>
      <c r="Q24" s="200" t="s">
        <v>494</v>
      </c>
      <c r="R24" s="200" t="s">
        <v>493</v>
      </c>
      <c r="S24" s="206">
        <v>4</v>
      </c>
      <c r="T24" s="206">
        <v>80</v>
      </c>
      <c r="V24" s="211" t="s">
        <v>502</v>
      </c>
      <c r="W24" s="211" t="s">
        <v>517</v>
      </c>
      <c r="X24" s="212">
        <f t="shared" si="0"/>
        <v>0</v>
      </c>
      <c r="Y24" s="213"/>
      <c r="Z24" s="213"/>
      <c r="AA24" s="213"/>
      <c r="AB24" s="213"/>
      <c r="AC24" s="213"/>
      <c r="AD24" s="213"/>
      <c r="AE24" s="213"/>
      <c r="AF24" s="213"/>
      <c r="AG24" s="213"/>
      <c r="AH24" s="213"/>
      <c r="AI24" s="213"/>
      <c r="AJ24" s="213"/>
      <c r="AK24" s="213"/>
      <c r="AL24" s="213"/>
      <c r="AM24" s="213"/>
      <c r="AN24" s="213"/>
      <c r="AO24" s="213"/>
      <c r="AP24" s="213"/>
      <c r="AQ24" s="213"/>
      <c r="AR24" s="213"/>
      <c r="AS24" s="213"/>
      <c r="AT24" s="213"/>
      <c r="AU24" s="213"/>
      <c r="AV24" s="213"/>
      <c r="AW24" s="213"/>
      <c r="AX24" s="213"/>
      <c r="AY24" s="213"/>
      <c r="AZ24" s="213"/>
      <c r="BA24" s="213"/>
      <c r="BB24" s="213"/>
      <c r="BC24" s="160"/>
    </row>
    <row r="25" spans="1:55">
      <c r="A25" s="191">
        <v>16</v>
      </c>
      <c r="B25" s="209" t="s">
        <v>502</v>
      </c>
      <c r="C25" s="209" t="s">
        <v>514</v>
      </c>
      <c r="D25" s="209" t="s">
        <v>499</v>
      </c>
      <c r="O25" s="203">
        <v>21</v>
      </c>
      <c r="P25" s="204">
        <v>46182</v>
      </c>
      <c r="Q25" s="205" t="s">
        <v>492</v>
      </c>
      <c r="R25" s="205" t="s">
        <v>493</v>
      </c>
      <c r="S25" s="203">
        <v>4</v>
      </c>
      <c r="T25" s="203">
        <v>84</v>
      </c>
      <c r="V25" s="214" t="s">
        <v>502</v>
      </c>
      <c r="W25" s="214" t="s">
        <v>518</v>
      </c>
      <c r="X25" s="209">
        <f t="shared" si="0"/>
        <v>0</v>
      </c>
      <c r="Y25" s="215"/>
      <c r="Z25" s="215"/>
      <c r="AA25" s="215"/>
      <c r="AB25" s="215"/>
      <c r="AC25" s="215"/>
      <c r="AD25" s="215"/>
      <c r="AE25" s="215"/>
      <c r="AF25" s="215"/>
      <c r="AG25" s="215"/>
      <c r="AH25" s="215"/>
      <c r="AI25" s="215"/>
      <c r="AJ25" s="215"/>
      <c r="AK25" s="215"/>
      <c r="AL25" s="215"/>
      <c r="AM25" s="215"/>
      <c r="AN25" s="215"/>
      <c r="AO25" s="215"/>
      <c r="AP25" s="215"/>
      <c r="AQ25" s="215"/>
      <c r="AR25" s="215"/>
      <c r="AS25" s="215"/>
      <c r="AT25" s="215"/>
      <c r="AU25" s="215"/>
      <c r="AV25" s="215"/>
      <c r="AW25" s="215"/>
      <c r="AX25" s="215"/>
      <c r="AY25" s="215"/>
      <c r="AZ25" s="215"/>
      <c r="BA25" s="215"/>
      <c r="BB25" s="215"/>
      <c r="BC25" s="160"/>
    </row>
    <row r="26" spans="1:55">
      <c r="A26" s="191">
        <v>17</v>
      </c>
      <c r="B26" s="208" t="s">
        <v>502</v>
      </c>
      <c r="C26" s="208" t="s">
        <v>515</v>
      </c>
      <c r="D26" s="208" t="s">
        <v>499</v>
      </c>
      <c r="O26" s="206">
        <v>22</v>
      </c>
      <c r="P26" s="207">
        <v>46183</v>
      </c>
      <c r="Q26" s="200" t="s">
        <v>494</v>
      </c>
      <c r="R26" s="200" t="s">
        <v>493</v>
      </c>
      <c r="S26" s="206">
        <v>4</v>
      </c>
      <c r="T26" s="206">
        <v>88</v>
      </c>
      <c r="V26" s="211" t="s">
        <v>502</v>
      </c>
      <c r="W26" s="211" t="s">
        <v>519</v>
      </c>
      <c r="X26" s="212">
        <f t="shared" si="0"/>
        <v>0</v>
      </c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  <c r="AJ26" s="213"/>
      <c r="AK26" s="213"/>
      <c r="AL26" s="213"/>
      <c r="AM26" s="213"/>
      <c r="AN26" s="213"/>
      <c r="AO26" s="213"/>
      <c r="AP26" s="213"/>
      <c r="AQ26" s="213"/>
      <c r="AR26" s="213"/>
      <c r="AS26" s="213"/>
      <c r="AT26" s="213"/>
      <c r="AU26" s="213"/>
      <c r="AV26" s="213"/>
      <c r="AW26" s="213"/>
      <c r="AX26" s="213"/>
      <c r="AY26" s="213"/>
      <c r="AZ26" s="213"/>
      <c r="BA26" s="213"/>
      <c r="BB26" s="213"/>
      <c r="BC26" s="160"/>
    </row>
    <row r="27" spans="1:55">
      <c r="A27" s="191">
        <v>18</v>
      </c>
      <c r="B27" s="209" t="s">
        <v>502</v>
      </c>
      <c r="C27" s="209" t="s">
        <v>516</v>
      </c>
      <c r="D27" s="209" t="s">
        <v>499</v>
      </c>
      <c r="O27" s="203">
        <v>23</v>
      </c>
      <c r="P27" s="204">
        <v>46189</v>
      </c>
      <c r="Q27" s="205" t="s">
        <v>492</v>
      </c>
      <c r="R27" s="205" t="s">
        <v>493</v>
      </c>
      <c r="S27" s="203">
        <v>4</v>
      </c>
      <c r="T27" s="203">
        <v>92</v>
      </c>
      <c r="V27" s="214" t="s">
        <v>502</v>
      </c>
      <c r="W27" s="214" t="s">
        <v>520</v>
      </c>
      <c r="X27" s="209">
        <f t="shared" si="0"/>
        <v>0</v>
      </c>
      <c r="Y27" s="215"/>
      <c r="Z27" s="215"/>
      <c r="AA27" s="215"/>
      <c r="AB27" s="215"/>
      <c r="AC27" s="215"/>
      <c r="AD27" s="215"/>
      <c r="AE27" s="215"/>
      <c r="AF27" s="215"/>
      <c r="AG27" s="215"/>
      <c r="AH27" s="215"/>
      <c r="AI27" s="215"/>
      <c r="AJ27" s="215"/>
      <c r="AK27" s="215"/>
      <c r="AL27" s="215"/>
      <c r="AM27" s="215"/>
      <c r="AN27" s="215"/>
      <c r="AO27" s="215"/>
      <c r="AP27" s="215"/>
      <c r="AQ27" s="215"/>
      <c r="AR27" s="215"/>
      <c r="AS27" s="215"/>
      <c r="AT27" s="215"/>
      <c r="AU27" s="215"/>
      <c r="AV27" s="215"/>
      <c r="AW27" s="215"/>
      <c r="AX27" s="215"/>
      <c r="AY27" s="215"/>
      <c r="AZ27" s="215"/>
      <c r="BA27" s="215"/>
      <c r="BB27" s="215"/>
      <c r="BC27" s="160"/>
    </row>
    <row r="28" spans="1:55">
      <c r="A28" s="191">
        <v>19</v>
      </c>
      <c r="B28" s="208" t="s">
        <v>502</v>
      </c>
      <c r="C28" s="208" t="s">
        <v>517</v>
      </c>
      <c r="D28" s="208" t="s">
        <v>499</v>
      </c>
      <c r="O28" s="206">
        <v>24</v>
      </c>
      <c r="P28" s="207">
        <v>46190</v>
      </c>
      <c r="Q28" s="200" t="s">
        <v>494</v>
      </c>
      <c r="R28" s="200" t="s">
        <v>493</v>
      </c>
      <c r="S28" s="206">
        <v>4</v>
      </c>
      <c r="T28" s="206">
        <v>96</v>
      </c>
      <c r="V28" s="211" t="s">
        <v>502</v>
      </c>
      <c r="W28" s="211" t="s">
        <v>521</v>
      </c>
      <c r="X28" s="212">
        <f t="shared" si="0"/>
        <v>0</v>
      </c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  <c r="AJ28" s="213"/>
      <c r="AK28" s="213"/>
      <c r="AL28" s="213"/>
      <c r="AM28" s="213"/>
      <c r="AN28" s="213"/>
      <c r="AO28" s="213"/>
      <c r="AP28" s="213"/>
      <c r="AQ28" s="213"/>
      <c r="AR28" s="213"/>
      <c r="AS28" s="213"/>
      <c r="AT28" s="213"/>
      <c r="AU28" s="213"/>
      <c r="AV28" s="213"/>
      <c r="AW28" s="213"/>
      <c r="AX28" s="213"/>
      <c r="AY28" s="213"/>
      <c r="AZ28" s="213"/>
      <c r="BA28" s="213"/>
      <c r="BB28" s="213"/>
      <c r="BC28" s="160"/>
    </row>
    <row r="29" spans="1:55" ht="15" thickBot="1">
      <c r="A29" s="191">
        <v>20</v>
      </c>
      <c r="B29" s="209" t="s">
        <v>502</v>
      </c>
      <c r="C29" s="209" t="s">
        <v>518</v>
      </c>
      <c r="D29" s="209" t="s">
        <v>499</v>
      </c>
      <c r="O29" s="203">
        <v>25</v>
      </c>
      <c r="P29" s="204">
        <v>46196</v>
      </c>
      <c r="Q29" s="205" t="s">
        <v>492</v>
      </c>
      <c r="R29" s="205" t="s">
        <v>493</v>
      </c>
      <c r="S29" s="203">
        <v>4</v>
      </c>
      <c r="T29" s="203">
        <v>100</v>
      </c>
    </row>
    <row r="30" spans="1:55" ht="15.6">
      <c r="A30" s="191">
        <v>21</v>
      </c>
      <c r="B30" s="208" t="s">
        <v>502</v>
      </c>
      <c r="C30" s="208" t="s">
        <v>519</v>
      </c>
      <c r="D30" s="208" t="s">
        <v>499</v>
      </c>
      <c r="O30" s="206">
        <v>26</v>
      </c>
      <c r="P30" s="207">
        <v>46197</v>
      </c>
      <c r="Q30" s="200" t="s">
        <v>494</v>
      </c>
      <c r="R30" s="200" t="s">
        <v>493</v>
      </c>
      <c r="S30" s="206">
        <v>4</v>
      </c>
      <c r="T30" s="206">
        <v>104</v>
      </c>
      <c r="V30" s="522" t="s">
        <v>582</v>
      </c>
      <c r="W30" s="523"/>
    </row>
    <row r="31" spans="1:55" ht="15.6">
      <c r="A31" s="191">
        <v>22</v>
      </c>
      <c r="B31" s="209" t="s">
        <v>502</v>
      </c>
      <c r="C31" s="209" t="s">
        <v>520</v>
      </c>
      <c r="D31" s="209" t="s">
        <v>499</v>
      </c>
      <c r="O31" s="203">
        <v>27</v>
      </c>
      <c r="P31" s="204">
        <v>46203</v>
      </c>
      <c r="Q31" s="205" t="s">
        <v>492</v>
      </c>
      <c r="R31" s="205" t="s">
        <v>493</v>
      </c>
      <c r="S31" s="203">
        <v>4</v>
      </c>
      <c r="T31" s="203">
        <v>108</v>
      </c>
      <c r="V31" s="524" t="s">
        <v>472</v>
      </c>
      <c r="W31" s="525"/>
    </row>
    <row r="32" spans="1:55" ht="15" thickBot="1">
      <c r="A32" s="191">
        <v>23</v>
      </c>
      <c r="B32" s="208" t="s">
        <v>502</v>
      </c>
      <c r="C32" s="208" t="s">
        <v>521</v>
      </c>
      <c r="D32" s="208" t="s">
        <v>499</v>
      </c>
      <c r="O32" s="206">
        <v>28</v>
      </c>
      <c r="P32" s="207">
        <v>46204</v>
      </c>
      <c r="Q32" s="200" t="s">
        <v>494</v>
      </c>
      <c r="R32" s="200" t="s">
        <v>493</v>
      </c>
      <c r="S32" s="206">
        <v>4</v>
      </c>
      <c r="T32" s="206">
        <v>112</v>
      </c>
      <c r="V32" s="526" t="s">
        <v>473</v>
      </c>
      <c r="W32" s="527"/>
    </row>
    <row r="33" spans="15:23">
      <c r="O33" s="203">
        <v>29</v>
      </c>
      <c r="P33" s="204">
        <v>46210</v>
      </c>
      <c r="Q33" s="205" t="s">
        <v>492</v>
      </c>
      <c r="R33" s="205" t="s">
        <v>493</v>
      </c>
      <c r="S33" s="203">
        <v>4</v>
      </c>
      <c r="T33" s="203">
        <v>116</v>
      </c>
      <c r="V33" s="251" t="s">
        <v>474</v>
      </c>
      <c r="W33" s="244">
        <v>46112</v>
      </c>
    </row>
    <row r="34" spans="15:23">
      <c r="O34" s="206">
        <v>30</v>
      </c>
      <c r="P34" s="207">
        <v>46211</v>
      </c>
      <c r="Q34" s="200" t="s">
        <v>494</v>
      </c>
      <c r="R34" s="200" t="s">
        <v>493</v>
      </c>
      <c r="S34" s="206">
        <v>4</v>
      </c>
      <c r="T34" s="206">
        <v>120</v>
      </c>
      <c r="V34" s="252" t="s">
        <v>475</v>
      </c>
      <c r="W34" s="245" t="s">
        <v>476</v>
      </c>
    </row>
    <row r="35" spans="15:23">
      <c r="V35" s="252" t="s">
        <v>477</v>
      </c>
      <c r="W35" s="245" t="s">
        <v>478</v>
      </c>
    </row>
    <row r="36" spans="15:23">
      <c r="V36" s="252" t="s">
        <v>479</v>
      </c>
      <c r="W36" s="246">
        <v>4</v>
      </c>
    </row>
    <row r="37" spans="15:23">
      <c r="V37" s="252" t="s">
        <v>480</v>
      </c>
      <c r="W37" s="245">
        <f>W36*2</f>
        <v>8</v>
      </c>
    </row>
    <row r="38" spans="15:23">
      <c r="V38" s="252" t="s">
        <v>481</v>
      </c>
      <c r="W38" s="246">
        <v>120</v>
      </c>
    </row>
    <row r="39" spans="15:23">
      <c r="V39" s="252" t="s">
        <v>482</v>
      </c>
      <c r="W39" s="247">
        <v>15</v>
      </c>
    </row>
    <row r="40" spans="15:23">
      <c r="V40" s="252" t="s">
        <v>483</v>
      </c>
      <c r="W40" s="248">
        <v>30</v>
      </c>
    </row>
    <row r="41" spans="15:23">
      <c r="V41" s="252" t="s">
        <v>484</v>
      </c>
      <c r="W41" s="249">
        <v>46211</v>
      </c>
    </row>
    <row r="42" spans="15:23" ht="15" thickBot="1">
      <c r="V42" s="253" t="s">
        <v>485</v>
      </c>
      <c r="W42" s="250">
        <v>23</v>
      </c>
    </row>
  </sheetData>
  <mergeCells count="14">
    <mergeCell ref="V30:W30"/>
    <mergeCell ref="V31:W31"/>
    <mergeCell ref="V32:W32"/>
    <mergeCell ref="V3:BC3"/>
    <mergeCell ref="V4:V5"/>
    <mergeCell ref="W4:W5"/>
    <mergeCell ref="X4:X5"/>
    <mergeCell ref="L17:L18"/>
    <mergeCell ref="M17:M18"/>
    <mergeCell ref="L2:M2"/>
    <mergeCell ref="L3:M3"/>
    <mergeCell ref="L4:M4"/>
    <mergeCell ref="O3:T3"/>
    <mergeCell ref="B8:D8"/>
  </mergeCells>
  <conditionalFormatting sqref="Y6:BB28">
    <cfRule type="expression" dxfId="2" priority="1">
      <formula>Y6="P"</formula>
    </cfRule>
    <cfRule type="expression" dxfId="1" priority="2">
      <formula>Y6="A"</formula>
    </cfRule>
    <cfRule type="expression" dxfId="0" priority="3">
      <formula>Y6="T"</formula>
    </cfRule>
  </conditionalFormatting>
  <pageMargins left="0.7" right="0.7" top="0.75" bottom="0.75" header="0.3" footer="0.3"/>
  <pageSetup paperSize="9" orientation="portrait" verticalDpi="0" r:id="rId1"/>
  <legacyDrawing r:id="rId2"/>
  <tableParts count="2">
    <tablePart r:id="rId3"/>
    <tablePart r:id="rId4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3"/>
  <sheetViews>
    <sheetView workbookViewId="0">
      <selection activeCell="F8" sqref="D8:F11"/>
    </sheetView>
  </sheetViews>
  <sheetFormatPr baseColWidth="10" defaultRowHeight="14.4"/>
  <cols>
    <col min="2" max="2" width="20.109375" bestFit="1" customWidth="1"/>
    <col min="3" max="3" width="4.88671875" customWidth="1"/>
    <col min="4" max="4" width="21.109375" customWidth="1"/>
  </cols>
  <sheetData>
    <row r="1" spans="2:11" s="216" customFormat="1" ht="15" thickBot="1"/>
    <row r="2" spans="2:11">
      <c r="B2" s="283" t="s">
        <v>566</v>
      </c>
      <c r="C2" s="533" t="s">
        <v>638</v>
      </c>
      <c r="D2" s="534"/>
      <c r="E2" s="535"/>
    </row>
    <row r="3" spans="2:11">
      <c r="B3" s="237" t="s">
        <v>530</v>
      </c>
      <c r="C3" s="234"/>
      <c r="D3" s="234"/>
      <c r="E3" s="280"/>
    </row>
    <row r="4" spans="2:11" ht="15" thickBot="1">
      <c r="B4" s="238" t="s">
        <v>548</v>
      </c>
      <c r="C4" s="281"/>
      <c r="D4" s="281"/>
      <c r="E4" s="282"/>
    </row>
    <row r="5" spans="2:11">
      <c r="B5" t="s">
        <v>558</v>
      </c>
    </row>
    <row r="6" spans="2:11">
      <c r="F6" t="s">
        <v>612</v>
      </c>
    </row>
    <row r="7" spans="2:11" ht="15" thickBot="1"/>
    <row r="8" spans="2:11" ht="18.600000000000001" thickBot="1">
      <c r="D8" s="435" t="s">
        <v>457</v>
      </c>
      <c r="E8" s="436">
        <v>97309</v>
      </c>
      <c r="F8" t="s">
        <v>668</v>
      </c>
    </row>
    <row r="9" spans="2:11" ht="15" thickBot="1">
      <c r="B9" s="240"/>
      <c r="C9" s="312"/>
      <c r="D9" s="11"/>
      <c r="E9" s="317" t="s">
        <v>613</v>
      </c>
      <c r="F9" s="318"/>
      <c r="G9" s="320" t="s">
        <v>583</v>
      </c>
      <c r="H9" s="320" t="s">
        <v>584</v>
      </c>
      <c r="I9" s="320" t="s">
        <v>585</v>
      </c>
      <c r="J9" s="320" t="s">
        <v>586</v>
      </c>
      <c r="K9" s="321" t="s">
        <v>590</v>
      </c>
    </row>
    <row r="10" spans="2:11">
      <c r="B10" s="240">
        <v>48238132</v>
      </c>
      <c r="C10" s="313"/>
      <c r="D10" s="350" t="s">
        <v>610</v>
      </c>
      <c r="E10" s="323" t="s">
        <v>502</v>
      </c>
      <c r="F10" s="316"/>
      <c r="G10" s="308"/>
      <c r="H10" s="308"/>
      <c r="I10" s="308"/>
      <c r="J10" s="308"/>
      <c r="K10" s="309"/>
    </row>
    <row r="11" spans="2:11" ht="15" thickBot="1">
      <c r="B11" s="240"/>
      <c r="C11" s="314"/>
      <c r="D11" s="325" t="s">
        <v>611</v>
      </c>
      <c r="E11" s="325" t="s">
        <v>502</v>
      </c>
      <c r="F11" s="302"/>
      <c r="G11" s="189"/>
      <c r="H11" s="189"/>
      <c r="I11" s="189"/>
      <c r="J11" s="189"/>
      <c r="K11" s="190"/>
    </row>
    <row r="12" spans="2:11" ht="15" thickBot="1">
      <c r="B12" s="240"/>
      <c r="C12" s="377"/>
    </row>
    <row r="13" spans="2:11">
      <c r="B13" s="240"/>
    </row>
  </sheetData>
  <mergeCells count="1">
    <mergeCell ref="C2:E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6"/>
  <sheetViews>
    <sheetView workbookViewId="0">
      <selection activeCell="J7" sqref="B7:J16"/>
    </sheetView>
  </sheetViews>
  <sheetFormatPr baseColWidth="10" defaultRowHeight="14.4"/>
  <cols>
    <col min="2" max="2" width="19.21875" bestFit="1" customWidth="1"/>
    <col min="3" max="3" width="11.5546875" style="3"/>
    <col min="4" max="4" width="24.6640625" bestFit="1" customWidth="1"/>
    <col min="5" max="5" width="19.21875" bestFit="1" customWidth="1"/>
  </cols>
  <sheetData>
    <row r="1" spans="2:10" s="216" customFormat="1" ht="15" thickBot="1">
      <c r="C1" s="3"/>
    </row>
    <row r="2" spans="2:10" s="216" customFormat="1" ht="15" thickBot="1">
      <c r="B2" s="507" t="s">
        <v>576</v>
      </c>
      <c r="C2" s="508"/>
      <c r="D2" s="508"/>
      <c r="E2" s="509"/>
    </row>
    <row r="3" spans="2:10">
      <c r="B3" s="217" t="s">
        <v>536</v>
      </c>
      <c r="C3" s="327"/>
      <c r="D3" s="224" t="s">
        <v>537</v>
      </c>
      <c r="E3" s="218" t="s">
        <v>546</v>
      </c>
      <c r="H3" t="s">
        <v>600</v>
      </c>
    </row>
    <row r="4" spans="2:10">
      <c r="B4" s="226" t="s">
        <v>542</v>
      </c>
      <c r="C4" s="293"/>
      <c r="D4" s="221"/>
      <c r="E4" s="227" t="s">
        <v>547</v>
      </c>
      <c r="H4" s="228" t="s">
        <v>17</v>
      </c>
    </row>
    <row r="5" spans="2:10" ht="15" thickBot="1">
      <c r="B5" s="219" t="s">
        <v>544</v>
      </c>
      <c r="C5" s="328"/>
      <c r="D5" s="225"/>
      <c r="E5" s="220"/>
    </row>
    <row r="6" spans="2:10" ht="16.2" thickBot="1">
      <c r="G6" s="437" t="s">
        <v>457</v>
      </c>
      <c r="H6" s="438">
        <v>97310</v>
      </c>
    </row>
    <row r="7" spans="2:10" ht="15" thickBot="1">
      <c r="G7" t="s">
        <v>669</v>
      </c>
      <c r="H7" t="s">
        <v>673</v>
      </c>
    </row>
    <row r="8" spans="2:10" ht="15" thickBot="1">
      <c r="B8" s="358"/>
      <c r="C8" s="359"/>
      <c r="D8" s="360" t="s">
        <v>613</v>
      </c>
      <c r="E8" s="360"/>
      <c r="F8" s="361" t="s">
        <v>583</v>
      </c>
      <c r="G8" s="361" t="s">
        <v>584</v>
      </c>
      <c r="H8" s="361" t="s">
        <v>585</v>
      </c>
      <c r="I8" s="361" t="s">
        <v>586</v>
      </c>
      <c r="J8" s="362" t="s">
        <v>590</v>
      </c>
    </row>
    <row r="9" spans="2:10">
      <c r="B9" s="315" t="s">
        <v>617</v>
      </c>
      <c r="C9" s="329" t="s">
        <v>498</v>
      </c>
      <c r="D9" s="308" t="s">
        <v>89</v>
      </c>
      <c r="E9" s="326">
        <v>48239995</v>
      </c>
      <c r="F9" s="326">
        <v>42</v>
      </c>
      <c r="G9" s="326">
        <v>40</v>
      </c>
      <c r="H9" s="326" t="s">
        <v>588</v>
      </c>
      <c r="I9" s="326" t="s">
        <v>588</v>
      </c>
      <c r="J9" s="309">
        <v>1134958337</v>
      </c>
    </row>
    <row r="10" spans="2:10" ht="15" thickBot="1">
      <c r="B10" s="314"/>
      <c r="C10" s="331" t="s">
        <v>498</v>
      </c>
      <c r="D10" s="189" t="s">
        <v>85</v>
      </c>
      <c r="E10" s="357">
        <v>48637636</v>
      </c>
      <c r="F10" s="189">
        <v>42</v>
      </c>
      <c r="G10" s="189">
        <v>42</v>
      </c>
      <c r="H10" s="189" t="s">
        <v>595</v>
      </c>
      <c r="I10" s="189" t="s">
        <v>595</v>
      </c>
      <c r="J10" s="190">
        <v>1122501604</v>
      </c>
    </row>
    <row r="11" spans="2:10" ht="15" thickBot="1">
      <c r="B11" s="358"/>
      <c r="C11" s="359"/>
      <c r="D11" s="360" t="s">
        <v>600</v>
      </c>
      <c r="E11" s="360"/>
      <c r="F11" s="361" t="s">
        <v>583</v>
      </c>
      <c r="G11" s="361" t="s">
        <v>584</v>
      </c>
      <c r="H11" s="361" t="s">
        <v>585</v>
      </c>
      <c r="I11" s="361" t="s">
        <v>586</v>
      </c>
      <c r="J11" s="362" t="s">
        <v>590</v>
      </c>
    </row>
    <row r="12" spans="2:10">
      <c r="B12" s="315" t="s">
        <v>617</v>
      </c>
      <c r="C12" s="329" t="s">
        <v>498</v>
      </c>
      <c r="D12" s="308" t="s">
        <v>17</v>
      </c>
      <c r="E12" s="326">
        <v>48378190</v>
      </c>
      <c r="F12" s="326"/>
      <c r="G12" s="326">
        <v>42</v>
      </c>
      <c r="H12" s="326"/>
      <c r="I12" s="326"/>
      <c r="J12" s="309"/>
    </row>
    <row r="13" spans="2:10" ht="15" thickBot="1">
      <c r="B13" s="314"/>
      <c r="C13" s="331" t="s">
        <v>502</v>
      </c>
      <c r="D13" s="189" t="s">
        <v>640</v>
      </c>
      <c r="E13" s="357">
        <v>48637529</v>
      </c>
      <c r="F13" s="189"/>
      <c r="G13" s="189"/>
      <c r="H13" s="189"/>
      <c r="I13" s="189"/>
      <c r="J13" s="190"/>
    </row>
    <row r="14" spans="2:10" ht="15" thickBot="1">
      <c r="B14" s="358"/>
      <c r="C14" s="359"/>
      <c r="D14" s="360" t="s">
        <v>637</v>
      </c>
      <c r="E14" s="360"/>
      <c r="F14" s="361" t="s">
        <v>583</v>
      </c>
      <c r="G14" s="361" t="s">
        <v>584</v>
      </c>
      <c r="H14" s="361" t="s">
        <v>585</v>
      </c>
      <c r="I14" s="361" t="s">
        <v>586</v>
      </c>
      <c r="J14" s="362" t="s">
        <v>590</v>
      </c>
    </row>
    <row r="15" spans="2:10">
      <c r="B15" s="315" t="s">
        <v>617</v>
      </c>
      <c r="C15" s="329" t="s">
        <v>502</v>
      </c>
      <c r="D15" s="22" t="s">
        <v>233</v>
      </c>
      <c r="E15" s="326">
        <v>48037659</v>
      </c>
      <c r="F15" s="326">
        <v>44</v>
      </c>
      <c r="G15" s="326">
        <v>40</v>
      </c>
      <c r="H15" s="326" t="s">
        <v>588</v>
      </c>
      <c r="I15" s="326" t="s">
        <v>588</v>
      </c>
      <c r="J15" s="309">
        <v>1126278098</v>
      </c>
    </row>
    <row r="16" spans="2:10" ht="15" thickBot="1">
      <c r="B16" s="314"/>
      <c r="C16" s="331" t="s">
        <v>498</v>
      </c>
      <c r="D16" s="232"/>
      <c r="E16" s="357"/>
      <c r="F16" s="189">
        <v>40</v>
      </c>
      <c r="G16" s="189">
        <v>42</v>
      </c>
      <c r="H16" s="189"/>
      <c r="I16" s="189"/>
      <c r="J16" s="190"/>
    </row>
  </sheetData>
  <mergeCells count="1">
    <mergeCell ref="B2:E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"/>
  <sheetViews>
    <sheetView workbookViewId="0">
      <selection activeCell="G2" sqref="G2:N9"/>
    </sheetView>
  </sheetViews>
  <sheetFormatPr baseColWidth="10" defaultRowHeight="14.4"/>
  <cols>
    <col min="2" max="2" width="17" bestFit="1" customWidth="1"/>
    <col min="4" max="4" width="12.44140625" bestFit="1" customWidth="1"/>
    <col min="7" max="7" width="3.109375" bestFit="1" customWidth="1"/>
    <col min="8" max="8" width="30.109375" bestFit="1" customWidth="1"/>
    <col min="9" max="9" width="13.5546875" bestFit="1" customWidth="1"/>
  </cols>
  <sheetData>
    <row r="1" spans="2:14" ht="15" thickBot="1"/>
    <row r="2" spans="2:14" ht="15" thickBot="1">
      <c r="B2" s="236" t="s">
        <v>568</v>
      </c>
      <c r="C2" s="229" t="s">
        <v>569</v>
      </c>
      <c r="D2" s="235"/>
      <c r="E2" s="235"/>
      <c r="F2" s="235"/>
      <c r="G2" s="295"/>
      <c r="H2" s="296" t="s">
        <v>670</v>
      </c>
      <c r="I2" s="296" t="s">
        <v>671</v>
      </c>
      <c r="J2" s="297" t="s">
        <v>583</v>
      </c>
      <c r="K2" s="297" t="s">
        <v>584</v>
      </c>
      <c r="L2" s="297" t="s">
        <v>585</v>
      </c>
      <c r="M2" s="297" t="s">
        <v>586</v>
      </c>
      <c r="N2" s="303" t="s">
        <v>590</v>
      </c>
    </row>
    <row r="3" spans="2:14">
      <c r="B3" s="217" t="s">
        <v>524</v>
      </c>
      <c r="C3" s="224"/>
      <c r="D3" s="224" t="s">
        <v>525</v>
      </c>
      <c r="E3" s="224"/>
      <c r="F3" s="224" t="s">
        <v>526</v>
      </c>
      <c r="G3" s="237" t="s">
        <v>593</v>
      </c>
      <c r="H3" s="180" t="s">
        <v>121</v>
      </c>
      <c r="I3" s="180" t="s">
        <v>122</v>
      </c>
      <c r="J3" s="180">
        <v>40</v>
      </c>
      <c r="K3" s="180">
        <v>44</v>
      </c>
      <c r="L3" s="180" t="s">
        <v>588</v>
      </c>
      <c r="M3" s="180" t="s">
        <v>588</v>
      </c>
      <c r="N3" s="186">
        <v>1140562657</v>
      </c>
    </row>
    <row r="4" spans="2:14" ht="15" thickBot="1">
      <c r="B4" s="219" t="s">
        <v>527</v>
      </c>
      <c r="C4" s="225"/>
      <c r="D4" s="225" t="s">
        <v>528</v>
      </c>
      <c r="E4" s="225"/>
      <c r="F4" s="225" t="s">
        <v>527</v>
      </c>
      <c r="G4" s="237" t="s">
        <v>593</v>
      </c>
      <c r="H4" s="180" t="s">
        <v>125</v>
      </c>
      <c r="I4" s="180" t="s">
        <v>126</v>
      </c>
      <c r="J4" s="180">
        <v>42</v>
      </c>
      <c r="K4" s="180">
        <v>38</v>
      </c>
      <c r="L4" s="180" t="s">
        <v>588</v>
      </c>
      <c r="M4" s="180" t="s">
        <v>588</v>
      </c>
      <c r="N4" s="186">
        <v>1126074752</v>
      </c>
    </row>
    <row r="5" spans="2:14">
      <c r="G5" s="185" t="s">
        <v>498</v>
      </c>
      <c r="H5" s="180" t="s">
        <v>20</v>
      </c>
      <c r="I5" s="180">
        <v>48570169</v>
      </c>
      <c r="J5" s="180">
        <v>42</v>
      </c>
      <c r="K5" s="180">
        <v>42</v>
      </c>
      <c r="L5" s="180" t="s">
        <v>588</v>
      </c>
      <c r="M5" s="180" t="s">
        <v>588</v>
      </c>
      <c r="N5" s="186">
        <v>1154937877</v>
      </c>
    </row>
    <row r="6" spans="2:14" ht="15" thickBot="1">
      <c r="G6" s="237" t="s">
        <v>593</v>
      </c>
      <c r="H6" s="180" t="s">
        <v>128</v>
      </c>
      <c r="I6" s="180" t="s">
        <v>129</v>
      </c>
      <c r="J6" s="180">
        <v>38</v>
      </c>
      <c r="K6" s="180">
        <v>41</v>
      </c>
      <c r="L6" s="180" t="s">
        <v>588</v>
      </c>
      <c r="M6" s="180" t="s">
        <v>588</v>
      </c>
      <c r="N6" s="186">
        <v>1137970471</v>
      </c>
    </row>
    <row r="7" spans="2:14" ht="18.600000000000001" thickBot="1">
      <c r="C7" s="435" t="s">
        <v>457</v>
      </c>
      <c r="D7" s="436">
        <v>97312</v>
      </c>
      <c r="G7" s="237" t="s">
        <v>593</v>
      </c>
      <c r="H7" s="180" t="s">
        <v>142</v>
      </c>
      <c r="I7" s="180" t="s">
        <v>143</v>
      </c>
      <c r="J7" s="180">
        <v>38</v>
      </c>
      <c r="K7" s="180">
        <v>41</v>
      </c>
      <c r="L7" s="180" t="s">
        <v>592</v>
      </c>
      <c r="M7" s="180" t="s">
        <v>588</v>
      </c>
      <c r="N7" s="186">
        <v>1162197031</v>
      </c>
    </row>
    <row r="8" spans="2:14">
      <c r="G8" s="237" t="s">
        <v>498</v>
      </c>
      <c r="H8" s="180" t="s">
        <v>60</v>
      </c>
      <c r="I8" s="180">
        <v>48570118</v>
      </c>
      <c r="J8" s="180"/>
      <c r="K8" s="180"/>
      <c r="L8" s="180"/>
      <c r="M8" s="180"/>
      <c r="N8" s="186">
        <v>1158745992</v>
      </c>
    </row>
    <row r="9" spans="2:14" ht="15" thickBot="1">
      <c r="G9" s="188" t="s">
        <v>498</v>
      </c>
      <c r="H9" s="189" t="s">
        <v>50</v>
      </c>
      <c r="I9" s="189">
        <v>48378213</v>
      </c>
      <c r="J9" s="189">
        <v>40</v>
      </c>
      <c r="K9" s="189">
        <v>48</v>
      </c>
      <c r="L9" s="189" t="s">
        <v>588</v>
      </c>
      <c r="M9" s="189" t="s">
        <v>588</v>
      </c>
      <c r="N9" s="190">
        <v>1123539842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K14"/>
  <sheetViews>
    <sheetView workbookViewId="0">
      <selection activeCell="E2" sqref="E2:K6"/>
    </sheetView>
  </sheetViews>
  <sheetFormatPr baseColWidth="10" defaultRowHeight="14.4"/>
  <cols>
    <col min="2" max="2" width="20.109375" bestFit="1" customWidth="1"/>
    <col min="3" max="3" width="26.33203125" customWidth="1"/>
    <col min="4" max="4" width="5.5546875" customWidth="1"/>
    <col min="5" max="5" width="24.77734375" bestFit="1" customWidth="1"/>
  </cols>
  <sheetData>
    <row r="1" spans="4:11" s="216" customFormat="1" ht="15" thickBot="1"/>
    <row r="2" spans="4:11" ht="16.2" thickBot="1">
      <c r="E2" s="437" t="s">
        <v>457</v>
      </c>
      <c r="F2" s="438">
        <v>97315</v>
      </c>
      <c r="G2" s="544" t="s">
        <v>570</v>
      </c>
      <c r="H2" s="545"/>
      <c r="I2" s="545"/>
      <c r="J2" s="545"/>
      <c r="K2" s="546"/>
    </row>
    <row r="3" spans="4:11">
      <c r="E3" s="536"/>
      <c r="F3" s="537"/>
      <c r="G3" s="297" t="s">
        <v>583</v>
      </c>
      <c r="H3" s="297" t="s">
        <v>584</v>
      </c>
      <c r="I3" s="297" t="s">
        <v>585</v>
      </c>
      <c r="J3" s="297" t="s">
        <v>586</v>
      </c>
      <c r="K3" s="303" t="s">
        <v>590</v>
      </c>
    </row>
    <row r="4" spans="4:11" ht="15" thickBot="1">
      <c r="D4" t="s">
        <v>498</v>
      </c>
      <c r="E4" s="188" t="s">
        <v>24</v>
      </c>
      <c r="F4" s="189">
        <v>48218906</v>
      </c>
      <c r="G4" s="189">
        <v>48</v>
      </c>
      <c r="H4" s="189">
        <v>42</v>
      </c>
      <c r="I4" s="189" t="s">
        <v>592</v>
      </c>
      <c r="J4" s="189" t="s">
        <v>592</v>
      </c>
      <c r="K4" s="190">
        <v>1126193129</v>
      </c>
    </row>
    <row r="5" spans="4:11">
      <c r="E5" s="308"/>
      <c r="F5" s="308"/>
      <c r="G5" s="326" t="s">
        <v>583</v>
      </c>
      <c r="H5" s="326" t="s">
        <v>584</v>
      </c>
      <c r="I5" s="326" t="s">
        <v>585</v>
      </c>
      <c r="J5" s="326" t="s">
        <v>586</v>
      </c>
      <c r="K5" s="326" t="s">
        <v>590</v>
      </c>
    </row>
    <row r="6" spans="4:11">
      <c r="D6" t="s">
        <v>498</v>
      </c>
      <c r="E6" s="180" t="s">
        <v>651</v>
      </c>
      <c r="F6" s="180">
        <v>48115842</v>
      </c>
      <c r="G6" s="326" t="s">
        <v>589</v>
      </c>
      <c r="H6" s="326">
        <v>42</v>
      </c>
      <c r="I6" s="326" t="s">
        <v>588</v>
      </c>
      <c r="J6" s="365" t="s">
        <v>588</v>
      </c>
      <c r="K6" s="180">
        <v>1128432556</v>
      </c>
    </row>
    <row r="7" spans="4:11">
      <c r="E7" s="180"/>
      <c r="F7" s="180"/>
      <c r="G7" s="287" t="s">
        <v>583</v>
      </c>
      <c r="H7" s="287" t="s">
        <v>584</v>
      </c>
      <c r="I7" s="287" t="s">
        <v>585</v>
      </c>
      <c r="J7" s="287" t="s">
        <v>586</v>
      </c>
      <c r="K7" s="287" t="s">
        <v>590</v>
      </c>
    </row>
    <row r="8" spans="4:11">
      <c r="E8" s="180"/>
      <c r="F8" s="180"/>
      <c r="G8" s="180"/>
      <c r="H8" s="180"/>
      <c r="I8" s="180"/>
      <c r="J8" s="180"/>
      <c r="K8" s="180"/>
    </row>
    <row r="9" spans="4:11">
      <c r="E9" s="180"/>
      <c r="F9" s="180"/>
      <c r="G9" s="287" t="s">
        <v>583</v>
      </c>
      <c r="H9" s="287" t="s">
        <v>584</v>
      </c>
      <c r="I9" s="287" t="s">
        <v>585</v>
      </c>
      <c r="J9" s="287" t="s">
        <v>586</v>
      </c>
      <c r="K9" s="287" t="s">
        <v>590</v>
      </c>
    </row>
    <row r="10" spans="4:11" ht="15" thickBot="1">
      <c r="E10" s="180"/>
      <c r="F10" s="441"/>
      <c r="G10" s="441"/>
      <c r="H10" s="180"/>
      <c r="I10" s="180"/>
      <c r="J10" s="180"/>
      <c r="K10" s="180"/>
    </row>
    <row r="11" spans="4:11">
      <c r="E11" s="469" t="s">
        <v>570</v>
      </c>
      <c r="F11" s="538" t="s">
        <v>569</v>
      </c>
      <c r="G11" s="539"/>
    </row>
    <row r="12" spans="4:11">
      <c r="E12" s="256" t="s">
        <v>536</v>
      </c>
      <c r="F12" s="540"/>
      <c r="G12" s="541"/>
    </row>
    <row r="13" spans="4:11">
      <c r="E13" s="256" t="s">
        <v>542</v>
      </c>
      <c r="F13" s="540"/>
      <c r="G13" s="541"/>
    </row>
    <row r="14" spans="4:11" ht="15" thickBot="1">
      <c r="E14" s="257" t="s">
        <v>548</v>
      </c>
      <c r="F14" s="542"/>
      <c r="G14" s="543"/>
    </row>
  </sheetData>
  <mergeCells count="3">
    <mergeCell ref="E3:F3"/>
    <mergeCell ref="F11:G14"/>
    <mergeCell ref="G2:K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selection activeCell="I9" sqref="A9:I14"/>
    </sheetView>
  </sheetViews>
  <sheetFormatPr baseColWidth="10" defaultRowHeight="14.4"/>
  <cols>
    <col min="1" max="1" width="14.109375" bestFit="1" customWidth="1"/>
    <col min="2" max="2" width="9.33203125" style="286" customWidth="1"/>
    <col min="3" max="3" width="32.88671875" bestFit="1" customWidth="1"/>
    <col min="4" max="5" width="19.21875" bestFit="1" customWidth="1"/>
    <col min="6" max="6" width="7.33203125" bestFit="1" customWidth="1"/>
    <col min="7" max="7" width="12.77734375" bestFit="1" customWidth="1"/>
    <col min="8" max="8" width="19.21875" bestFit="1" customWidth="1"/>
    <col min="10" max="10" width="14.88671875" bestFit="1" customWidth="1"/>
  </cols>
  <sheetData>
    <row r="1" spans="1:10" s="216" customFormat="1" ht="15" thickBot="1">
      <c r="B1" s="286"/>
    </row>
    <row r="2" spans="1:10" ht="15" thickBot="1">
      <c r="C2" s="507" t="s">
        <v>573</v>
      </c>
      <c r="D2" s="508"/>
      <c r="E2" s="508"/>
      <c r="F2" s="508"/>
      <c r="G2" s="508"/>
      <c r="H2" s="509"/>
      <c r="J2" t="s">
        <v>600</v>
      </c>
    </row>
    <row r="3" spans="1:10">
      <c r="C3" s="226" t="s">
        <v>540</v>
      </c>
      <c r="D3" s="221" t="s">
        <v>542</v>
      </c>
      <c r="E3" s="227" t="s">
        <v>543</v>
      </c>
      <c r="G3" s="241" t="s">
        <v>545</v>
      </c>
      <c r="H3" s="241" t="s">
        <v>552</v>
      </c>
      <c r="J3" s="221" t="s">
        <v>603</v>
      </c>
    </row>
    <row r="4" spans="1:10" ht="15" thickBot="1">
      <c r="C4" s="219" t="s">
        <v>541</v>
      </c>
      <c r="D4" s="225" t="s">
        <v>544</v>
      </c>
      <c r="E4" s="220"/>
      <c r="G4" s="441"/>
      <c r="H4" s="442" t="s">
        <v>551</v>
      </c>
    </row>
    <row r="5" spans="1:10" ht="16.2" thickBot="1">
      <c r="G5" s="437" t="s">
        <v>457</v>
      </c>
      <c r="H5" s="438">
        <v>97316</v>
      </c>
    </row>
    <row r="6" spans="1:10">
      <c r="C6" s="217" t="s">
        <v>540</v>
      </c>
      <c r="D6" s="224" t="s">
        <v>542</v>
      </c>
      <c r="E6" s="218" t="s">
        <v>543</v>
      </c>
    </row>
    <row r="7" spans="1:10" ht="15" thickBot="1">
      <c r="C7" s="219" t="s">
        <v>541</v>
      </c>
      <c r="D7" s="225" t="s">
        <v>544</v>
      </c>
      <c r="E7" s="220"/>
    </row>
    <row r="8" spans="1:10" ht="15" thickBot="1"/>
    <row r="9" spans="1:10">
      <c r="A9" s="547" t="s">
        <v>672</v>
      </c>
      <c r="B9" s="548"/>
      <c r="C9" s="549"/>
      <c r="D9" s="296"/>
      <c r="E9" s="297" t="s">
        <v>583</v>
      </c>
      <c r="F9" s="297" t="s">
        <v>584</v>
      </c>
      <c r="G9" s="297" t="s">
        <v>585</v>
      </c>
      <c r="H9" s="297" t="s">
        <v>586</v>
      </c>
      <c r="I9" s="298" t="s">
        <v>590</v>
      </c>
    </row>
    <row r="10" spans="1:10">
      <c r="A10" s="185" t="s">
        <v>617</v>
      </c>
      <c r="B10" s="301" t="s">
        <v>498</v>
      </c>
      <c r="C10" s="180" t="s">
        <v>62</v>
      </c>
      <c r="D10" s="180">
        <v>48495550</v>
      </c>
      <c r="E10" s="180">
        <v>38</v>
      </c>
      <c r="F10" s="180">
        <v>39</v>
      </c>
      <c r="G10" s="180" t="s">
        <v>588</v>
      </c>
      <c r="H10" s="180" t="s">
        <v>588</v>
      </c>
      <c r="I10" s="186">
        <v>1134374374</v>
      </c>
    </row>
    <row r="11" spans="1:10" ht="15" thickBot="1">
      <c r="A11" s="188"/>
      <c r="B11" s="302" t="s">
        <v>498</v>
      </c>
      <c r="C11" s="189" t="s">
        <v>71</v>
      </c>
      <c r="D11" s="189">
        <v>48162941</v>
      </c>
      <c r="E11" s="189">
        <v>38</v>
      </c>
      <c r="F11" s="189">
        <v>42</v>
      </c>
      <c r="G11" s="189" t="s">
        <v>588</v>
      </c>
      <c r="H11" s="189" t="s">
        <v>588</v>
      </c>
      <c r="I11" s="190">
        <v>1162458514</v>
      </c>
    </row>
    <row r="12" spans="1:10">
      <c r="A12" s="295"/>
      <c r="B12" s="300"/>
      <c r="C12" s="296" t="s">
        <v>613</v>
      </c>
      <c r="D12" s="296"/>
      <c r="E12" s="297" t="s">
        <v>583</v>
      </c>
      <c r="F12" s="297" t="s">
        <v>584</v>
      </c>
      <c r="G12" s="297" t="s">
        <v>585</v>
      </c>
      <c r="H12" s="297" t="s">
        <v>586</v>
      </c>
      <c r="I12" s="298" t="s">
        <v>590</v>
      </c>
    </row>
    <row r="13" spans="1:10" ht="15" thickBot="1">
      <c r="A13" s="185" t="s">
        <v>534</v>
      </c>
      <c r="B13" s="302" t="s">
        <v>502</v>
      </c>
      <c r="C13" s="180" t="s">
        <v>200</v>
      </c>
      <c r="D13" s="180" t="s">
        <v>201</v>
      </c>
      <c r="E13" s="180">
        <v>44</v>
      </c>
      <c r="F13" s="180">
        <v>40</v>
      </c>
      <c r="G13" s="180" t="s">
        <v>588</v>
      </c>
      <c r="H13" s="180" t="s">
        <v>588</v>
      </c>
      <c r="I13" s="186">
        <v>1164675114</v>
      </c>
    </row>
    <row r="14" spans="1:10" ht="15" thickBot="1">
      <c r="A14" s="188"/>
      <c r="B14" s="302" t="s">
        <v>502</v>
      </c>
      <c r="C14" s="189" t="s">
        <v>191</v>
      </c>
      <c r="D14" s="189" t="s">
        <v>192</v>
      </c>
      <c r="E14" s="189">
        <v>42</v>
      </c>
      <c r="F14" s="189">
        <v>43</v>
      </c>
      <c r="G14" s="189" t="s">
        <v>595</v>
      </c>
      <c r="H14" s="189" t="s">
        <v>595</v>
      </c>
      <c r="I14" s="190">
        <v>1171048341</v>
      </c>
    </row>
    <row r="15" spans="1:10">
      <c r="A15" s="547" t="s">
        <v>600</v>
      </c>
      <c r="B15" s="548"/>
      <c r="C15" s="549"/>
      <c r="D15" s="296"/>
      <c r="E15" s="297" t="s">
        <v>583</v>
      </c>
      <c r="F15" s="297" t="s">
        <v>584</v>
      </c>
      <c r="G15" s="297" t="s">
        <v>585</v>
      </c>
      <c r="H15" s="297" t="s">
        <v>586</v>
      </c>
      <c r="I15" s="298" t="s">
        <v>590</v>
      </c>
    </row>
    <row r="16" spans="1:10">
      <c r="A16" s="185" t="s">
        <v>617</v>
      </c>
      <c r="B16" s="301" t="s">
        <v>502</v>
      </c>
      <c r="C16" s="221" t="s">
        <v>603</v>
      </c>
      <c r="D16" s="180"/>
      <c r="E16" s="180"/>
      <c r="F16" s="180"/>
      <c r="G16" s="180"/>
      <c r="H16" s="180"/>
      <c r="I16" s="186"/>
    </row>
    <row r="17" spans="1:9" ht="15" thickBot="1">
      <c r="A17" s="188"/>
      <c r="B17" s="302" t="s">
        <v>498</v>
      </c>
      <c r="C17" s="189" t="s">
        <v>27</v>
      </c>
      <c r="D17" s="189">
        <v>48647949</v>
      </c>
      <c r="E17" s="189">
        <v>40</v>
      </c>
      <c r="F17" s="189">
        <v>43</v>
      </c>
      <c r="G17" s="189" t="s">
        <v>588</v>
      </c>
      <c r="H17" s="189" t="s">
        <v>588</v>
      </c>
      <c r="I17" s="190"/>
    </row>
    <row r="18" spans="1:9">
      <c r="A18" s="295"/>
      <c r="B18" s="300"/>
      <c r="C18" s="296"/>
      <c r="D18" s="296"/>
      <c r="E18" s="297" t="s">
        <v>583</v>
      </c>
      <c r="F18" s="297" t="s">
        <v>584</v>
      </c>
      <c r="G18" s="297" t="s">
        <v>585</v>
      </c>
      <c r="H18" s="297" t="s">
        <v>586</v>
      </c>
      <c r="I18" s="298" t="s">
        <v>590</v>
      </c>
    </row>
    <row r="19" spans="1:9" ht="15" thickBot="1">
      <c r="A19" s="185" t="s">
        <v>534</v>
      </c>
      <c r="B19" s="302" t="s">
        <v>502</v>
      </c>
      <c r="C19" s="180" t="s">
        <v>134</v>
      </c>
      <c r="D19" s="180"/>
      <c r="E19" s="180"/>
      <c r="F19" s="180"/>
      <c r="G19" s="180"/>
      <c r="H19" s="180"/>
      <c r="I19" s="186"/>
    </row>
    <row r="20" spans="1:9" ht="15" thickBot="1">
      <c r="A20" s="188"/>
      <c r="B20" s="302" t="s">
        <v>502</v>
      </c>
      <c r="C20" s="189" t="s">
        <v>140</v>
      </c>
      <c r="D20" s="189"/>
      <c r="E20" s="189"/>
      <c r="F20" s="189"/>
      <c r="G20" s="189"/>
      <c r="H20" s="189"/>
      <c r="I20" s="190"/>
    </row>
    <row r="21" spans="1:9">
      <c r="A21" s="547" t="s">
        <v>637</v>
      </c>
      <c r="B21" s="548"/>
      <c r="C21" s="549"/>
      <c r="D21" s="296"/>
      <c r="E21" s="297" t="s">
        <v>583</v>
      </c>
      <c r="F21" s="297" t="s">
        <v>584</v>
      </c>
      <c r="G21" s="297" t="s">
        <v>585</v>
      </c>
      <c r="H21" s="297" t="s">
        <v>586</v>
      </c>
      <c r="I21" s="298" t="s">
        <v>590</v>
      </c>
    </row>
    <row r="22" spans="1:9">
      <c r="A22" s="185" t="s">
        <v>617</v>
      </c>
      <c r="B22" s="301" t="s">
        <v>502</v>
      </c>
      <c r="C22" s="221" t="s">
        <v>137</v>
      </c>
      <c r="D22" s="180"/>
      <c r="E22" s="180"/>
      <c r="F22" s="180"/>
      <c r="G22" s="180"/>
      <c r="H22" s="180"/>
      <c r="I22" s="186"/>
    </row>
    <row r="23" spans="1:9" ht="15" thickBot="1">
      <c r="A23" s="188"/>
      <c r="B23" s="302" t="s">
        <v>502</v>
      </c>
      <c r="C23" s="189" t="s">
        <v>145</v>
      </c>
      <c r="D23" s="189"/>
      <c r="E23" s="189"/>
      <c r="F23" s="189"/>
      <c r="G23" s="189"/>
      <c r="H23" s="189"/>
      <c r="I23" s="190"/>
    </row>
    <row r="24" spans="1:9">
      <c r="A24" s="295"/>
      <c r="B24" s="300"/>
      <c r="C24" s="296"/>
      <c r="D24" s="296"/>
      <c r="E24" s="297" t="s">
        <v>583</v>
      </c>
      <c r="F24" s="297" t="s">
        <v>584</v>
      </c>
      <c r="G24" s="297" t="s">
        <v>585</v>
      </c>
      <c r="H24" s="297" t="s">
        <v>586</v>
      </c>
      <c r="I24" s="298" t="s">
        <v>590</v>
      </c>
    </row>
    <row r="25" spans="1:9" ht="15" thickBot="1">
      <c r="A25" s="185" t="s">
        <v>534</v>
      </c>
      <c r="B25" s="302" t="s">
        <v>498</v>
      </c>
      <c r="C25" s="180" t="s">
        <v>24</v>
      </c>
      <c r="D25" s="180"/>
      <c r="E25" s="180"/>
      <c r="F25" s="180"/>
      <c r="G25" s="180"/>
      <c r="H25" s="180"/>
      <c r="I25" s="186"/>
    </row>
    <row r="26" spans="1:9" ht="15" thickBot="1">
      <c r="A26" s="188"/>
      <c r="B26" s="302" t="s">
        <v>498</v>
      </c>
      <c r="C26" s="72" t="s">
        <v>65</v>
      </c>
      <c r="D26" s="189">
        <v>48174746</v>
      </c>
      <c r="E26" s="189">
        <v>40</v>
      </c>
      <c r="F26" s="189">
        <v>40</v>
      </c>
      <c r="G26" s="189" t="s">
        <v>588</v>
      </c>
      <c r="H26" s="189" t="s">
        <v>595</v>
      </c>
      <c r="I26" s="190">
        <v>1176005773</v>
      </c>
    </row>
  </sheetData>
  <mergeCells count="4">
    <mergeCell ref="C2:H2"/>
    <mergeCell ref="A9:C9"/>
    <mergeCell ref="A15:C15"/>
    <mergeCell ref="A21:C2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K13"/>
  <sheetViews>
    <sheetView workbookViewId="0">
      <selection activeCell="D2" sqref="D2:J8"/>
    </sheetView>
  </sheetViews>
  <sheetFormatPr baseColWidth="10" defaultRowHeight="14.4"/>
  <cols>
    <col min="2" max="2" width="13.21875" bestFit="1" customWidth="1"/>
    <col min="3" max="3" width="20.109375" bestFit="1" customWidth="1"/>
    <col min="4" max="4" width="26.88671875" bestFit="1" customWidth="1"/>
    <col min="5" max="5" width="20.109375" bestFit="1" customWidth="1"/>
  </cols>
  <sheetData>
    <row r="1" spans="3:11" s="216" customFormat="1" ht="15" thickBot="1"/>
    <row r="2" spans="3:11" ht="15" thickBot="1">
      <c r="D2" s="217" t="s">
        <v>537</v>
      </c>
      <c r="E2" s="236" t="s">
        <v>542</v>
      </c>
      <c r="F2" s="552" t="s">
        <v>574</v>
      </c>
      <c r="G2" s="552"/>
      <c r="H2" s="552"/>
      <c r="I2" s="552"/>
      <c r="J2" s="553"/>
    </row>
    <row r="3" spans="3:11" ht="15" thickBot="1">
      <c r="D3" s="219"/>
      <c r="E3" s="236" t="s">
        <v>548</v>
      </c>
      <c r="F3" s="554"/>
      <c r="G3" s="554"/>
      <c r="H3" s="554"/>
      <c r="I3" s="554"/>
      <c r="J3" s="555"/>
    </row>
    <row r="4" spans="3:11" ht="18.600000000000001" thickBot="1">
      <c r="D4" s="439" t="s">
        <v>457</v>
      </c>
      <c r="E4" s="440">
        <v>97317</v>
      </c>
      <c r="F4" s="556"/>
      <c r="G4" s="556"/>
      <c r="H4" s="556"/>
      <c r="I4" s="556"/>
      <c r="J4" s="557"/>
    </row>
    <row r="5" spans="3:11">
      <c r="D5" s="536" t="s">
        <v>600</v>
      </c>
      <c r="E5" s="550"/>
      <c r="F5" s="297" t="s">
        <v>583</v>
      </c>
      <c r="G5" s="297" t="s">
        <v>584</v>
      </c>
      <c r="H5" s="297" t="s">
        <v>585</v>
      </c>
      <c r="I5" s="297" t="s">
        <v>586</v>
      </c>
      <c r="J5" s="303" t="s">
        <v>590</v>
      </c>
    </row>
    <row r="6" spans="3:11" ht="15" thickBot="1">
      <c r="D6" s="188" t="s">
        <v>230</v>
      </c>
      <c r="E6" s="189">
        <v>48383215</v>
      </c>
      <c r="F6" s="189">
        <v>40</v>
      </c>
      <c r="G6" s="189">
        <v>38</v>
      </c>
      <c r="H6" s="189" t="s">
        <v>595</v>
      </c>
      <c r="I6" s="189" t="s">
        <v>595</v>
      </c>
      <c r="J6" s="190">
        <v>1168808481</v>
      </c>
    </row>
    <row r="7" spans="3:11">
      <c r="D7" s="551" t="s">
        <v>637</v>
      </c>
      <c r="E7" s="537"/>
      <c r="F7" s="297" t="s">
        <v>583</v>
      </c>
      <c r="G7" s="297" t="s">
        <v>584</v>
      </c>
      <c r="H7" s="297" t="s">
        <v>585</v>
      </c>
      <c r="I7" s="297" t="s">
        <v>586</v>
      </c>
      <c r="J7" s="303" t="s">
        <v>590</v>
      </c>
    </row>
    <row r="8" spans="3:11" ht="15" thickBot="1">
      <c r="D8" s="188" t="s">
        <v>224</v>
      </c>
      <c r="E8" s="189">
        <v>48637876</v>
      </c>
      <c r="F8" s="189">
        <v>40</v>
      </c>
      <c r="G8" s="189">
        <v>40</v>
      </c>
      <c r="H8" s="189" t="s">
        <v>588</v>
      </c>
      <c r="I8" s="189" t="s">
        <v>588</v>
      </c>
      <c r="J8" s="190"/>
    </row>
    <row r="9" spans="3:11">
      <c r="C9" s="240"/>
      <c r="D9" s="240"/>
      <c r="E9" s="240"/>
      <c r="F9" s="380"/>
      <c r="G9" s="380"/>
      <c r="H9" s="380"/>
      <c r="I9" s="380"/>
      <c r="J9" s="380"/>
      <c r="K9" s="240"/>
    </row>
    <row r="10" spans="3:11">
      <c r="C10" s="240"/>
      <c r="D10" s="240"/>
      <c r="E10" s="240"/>
      <c r="F10" s="240"/>
      <c r="G10" s="240"/>
      <c r="H10" s="240"/>
      <c r="I10" s="240"/>
      <c r="J10" s="240"/>
      <c r="K10" s="240"/>
    </row>
    <row r="11" spans="3:11">
      <c r="C11" s="240"/>
      <c r="D11" s="240"/>
      <c r="E11" s="240"/>
      <c r="F11" s="380"/>
      <c r="G11" s="380"/>
      <c r="H11" s="380"/>
      <c r="I11" s="380"/>
      <c r="J11" s="380"/>
      <c r="K11" s="240"/>
    </row>
    <row r="12" spans="3:11">
      <c r="C12" s="240"/>
      <c r="D12" s="240"/>
      <c r="E12" s="240"/>
      <c r="F12" s="240"/>
      <c r="G12" s="240"/>
      <c r="H12" s="240"/>
      <c r="I12" s="240"/>
      <c r="J12" s="240"/>
      <c r="K12" s="240"/>
    </row>
    <row r="13" spans="3:11">
      <c r="C13" s="240"/>
      <c r="D13" s="240"/>
      <c r="E13" s="240"/>
      <c r="F13" s="240"/>
      <c r="G13" s="240"/>
      <c r="H13" s="240"/>
      <c r="I13" s="240"/>
      <c r="J13" s="240"/>
      <c r="K13" s="240"/>
    </row>
  </sheetData>
  <mergeCells count="3">
    <mergeCell ref="D5:E5"/>
    <mergeCell ref="D7:E7"/>
    <mergeCell ref="F2:J4"/>
  </mergeCells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29"/>
  <sheetViews>
    <sheetView topLeftCell="D1" zoomScale="75" zoomScaleNormal="75" workbookViewId="0">
      <selection activeCell="R30" sqref="R30"/>
    </sheetView>
  </sheetViews>
  <sheetFormatPr baseColWidth="10" defaultRowHeight="14.4"/>
  <cols>
    <col min="2" max="2" width="20.44140625" bestFit="1" customWidth="1"/>
    <col min="3" max="3" width="15.88671875" bestFit="1" customWidth="1"/>
    <col min="4" max="4" width="2.77734375" customWidth="1"/>
    <col min="5" max="5" width="20.109375" bestFit="1" customWidth="1"/>
    <col min="6" max="6" width="20.88671875" customWidth="1"/>
    <col min="7" max="7" width="19.88671875" customWidth="1"/>
    <col min="8" max="8" width="3.6640625" customWidth="1"/>
    <col min="10" max="10" width="15.109375" customWidth="1"/>
    <col min="14" max="14" width="2.88671875" customWidth="1"/>
    <col min="15" max="15" width="20.109375" bestFit="1" customWidth="1"/>
    <col min="16" max="16" width="15.109375" bestFit="1" customWidth="1"/>
    <col min="17" max="17" width="2.6640625" customWidth="1"/>
    <col min="18" max="18" width="20.109375" bestFit="1" customWidth="1"/>
    <col min="19" max="19" width="15.109375" bestFit="1" customWidth="1"/>
    <col min="20" max="20" width="3.5546875" customWidth="1"/>
    <col min="21" max="21" width="37" bestFit="1" customWidth="1"/>
    <col min="22" max="22" width="21.21875" bestFit="1" customWidth="1"/>
    <col min="24" max="24" width="17.44140625" bestFit="1" customWidth="1"/>
    <col min="25" max="25" width="19.21875" bestFit="1" customWidth="1"/>
    <col min="28" max="28" width="15" customWidth="1"/>
    <col min="29" max="29" width="13.5546875" bestFit="1" customWidth="1"/>
  </cols>
  <sheetData>
    <row r="2" spans="2:29" ht="15" thickBot="1"/>
    <row r="3" spans="2:29" ht="16.2" thickBot="1">
      <c r="B3" s="522" t="s">
        <v>582</v>
      </c>
      <c r="C3" s="523"/>
      <c r="E3" s="519" t="s">
        <v>580</v>
      </c>
      <c r="F3" s="520"/>
      <c r="G3" s="521"/>
      <c r="I3" s="254" t="s">
        <v>568</v>
      </c>
      <c r="J3" s="255" t="s">
        <v>569</v>
      </c>
      <c r="K3" s="235"/>
      <c r="L3" s="235"/>
      <c r="M3" s="230"/>
      <c r="O3" s="519" t="s">
        <v>571</v>
      </c>
      <c r="P3" s="520"/>
      <c r="Q3" s="520"/>
      <c r="R3" s="520"/>
      <c r="S3" s="520"/>
      <c r="T3" s="520"/>
      <c r="U3" s="521"/>
    </row>
    <row r="4" spans="2:29" ht="16.2" thickBot="1">
      <c r="B4" s="524" t="s">
        <v>472</v>
      </c>
      <c r="C4" s="525"/>
      <c r="E4" s="226" t="s">
        <v>536</v>
      </c>
      <c r="F4" s="221"/>
      <c r="G4" s="254" t="s">
        <v>537</v>
      </c>
      <c r="I4" s="217" t="s">
        <v>524</v>
      </c>
      <c r="J4" s="224"/>
      <c r="K4" s="224" t="s">
        <v>525</v>
      </c>
      <c r="L4" s="224"/>
      <c r="M4" s="218" t="s">
        <v>526</v>
      </c>
      <c r="O4" s="222" t="s">
        <v>529</v>
      </c>
      <c r="P4" s="222" t="s">
        <v>530</v>
      </c>
      <c r="Q4" s="240"/>
      <c r="R4" s="222" t="s">
        <v>529</v>
      </c>
      <c r="S4" s="222" t="s">
        <v>530</v>
      </c>
      <c r="T4" s="240"/>
      <c r="U4" s="239" t="s">
        <v>531</v>
      </c>
      <c r="X4" s="519" t="s">
        <v>575</v>
      </c>
      <c r="Y4" s="520"/>
      <c r="Z4" s="520"/>
      <c r="AA4" s="520"/>
      <c r="AB4" s="520"/>
      <c r="AC4" s="521"/>
    </row>
    <row r="5" spans="2:29" ht="15" thickBot="1">
      <c r="B5" s="526" t="s">
        <v>473</v>
      </c>
      <c r="C5" s="527"/>
      <c r="E5" s="226" t="s">
        <v>530</v>
      </c>
      <c r="F5" s="221"/>
      <c r="G5" s="227" t="s">
        <v>539</v>
      </c>
      <c r="I5" s="219" t="s">
        <v>527</v>
      </c>
      <c r="J5" s="225"/>
      <c r="K5" s="225" t="s">
        <v>528</v>
      </c>
      <c r="L5" s="225"/>
      <c r="M5" s="220" t="s">
        <v>527</v>
      </c>
      <c r="O5" s="223" t="s">
        <v>527</v>
      </c>
      <c r="P5" s="223" t="s">
        <v>527</v>
      </c>
      <c r="Q5" s="232"/>
      <c r="R5" s="223" t="s">
        <v>528</v>
      </c>
      <c r="S5" s="223" t="s">
        <v>528</v>
      </c>
      <c r="T5" s="232"/>
      <c r="U5" s="223" t="s">
        <v>532</v>
      </c>
      <c r="X5" s="259" t="s">
        <v>540</v>
      </c>
      <c r="Y5" s="222" t="s">
        <v>542</v>
      </c>
      <c r="Z5" s="267" t="s">
        <v>528</v>
      </c>
      <c r="AA5" s="224"/>
      <c r="AB5" s="273" t="s">
        <v>537</v>
      </c>
      <c r="AC5" s="270" t="s">
        <v>546</v>
      </c>
    </row>
    <row r="6" spans="2:29" ht="15" thickBot="1">
      <c r="B6" s="251" t="s">
        <v>474</v>
      </c>
      <c r="C6" s="244">
        <v>46112</v>
      </c>
      <c r="E6" s="219" t="s">
        <v>548</v>
      </c>
      <c r="F6" s="225"/>
      <c r="G6" s="220" t="s">
        <v>560</v>
      </c>
      <c r="X6" s="266"/>
      <c r="Y6" s="239" t="s">
        <v>544</v>
      </c>
      <c r="Z6" s="268" t="s">
        <v>527</v>
      </c>
      <c r="AA6" s="221"/>
      <c r="AB6" s="274"/>
      <c r="AC6" s="271" t="s">
        <v>547</v>
      </c>
    </row>
    <row r="7" spans="2:29" ht="15" thickBot="1">
      <c r="B7" s="252" t="s">
        <v>475</v>
      </c>
      <c r="C7" s="245" t="s">
        <v>476</v>
      </c>
      <c r="O7" s="519" t="s">
        <v>572</v>
      </c>
      <c r="P7" s="520"/>
      <c r="Q7" s="520"/>
      <c r="R7" s="520"/>
      <c r="S7" s="520"/>
      <c r="T7" s="520"/>
      <c r="U7" s="520"/>
      <c r="V7" s="521"/>
      <c r="X7" s="260"/>
      <c r="Y7" s="223" t="s">
        <v>549</v>
      </c>
      <c r="Z7" s="269" t="s">
        <v>527</v>
      </c>
      <c r="AA7" s="225"/>
      <c r="AB7" s="275"/>
      <c r="AC7" s="272" t="s">
        <v>550</v>
      </c>
    </row>
    <row r="8" spans="2:29" ht="15" thickBot="1">
      <c r="B8" s="252" t="s">
        <v>477</v>
      </c>
      <c r="C8" s="245" t="s">
        <v>478</v>
      </c>
      <c r="E8" s="519" t="s">
        <v>581</v>
      </c>
      <c r="F8" s="520"/>
      <c r="G8" s="521"/>
      <c r="J8" s="283" t="s">
        <v>566</v>
      </c>
      <c r="K8" s="533" t="s">
        <v>554</v>
      </c>
      <c r="L8" s="534"/>
      <c r="M8" s="535"/>
      <c r="O8" s="222" t="s">
        <v>533</v>
      </c>
      <c r="P8" s="222" t="s">
        <v>535</v>
      </c>
      <c r="Q8" s="224"/>
      <c r="R8" s="222" t="s">
        <v>533</v>
      </c>
      <c r="S8" s="222" t="s">
        <v>535</v>
      </c>
      <c r="T8" s="224"/>
      <c r="U8" s="259" t="s">
        <v>537</v>
      </c>
      <c r="V8" s="218" t="s">
        <v>538</v>
      </c>
    </row>
    <row r="9" spans="2:29" ht="15" thickBot="1">
      <c r="B9" s="252" t="s">
        <v>479</v>
      </c>
      <c r="C9" s="246">
        <v>4</v>
      </c>
      <c r="E9" s="217" t="s">
        <v>536</v>
      </c>
      <c r="F9" s="224"/>
      <c r="G9" s="254" t="s">
        <v>537</v>
      </c>
      <c r="J9" s="237" t="s">
        <v>530</v>
      </c>
      <c r="K9" s="234"/>
      <c r="L9" s="234" t="s">
        <v>556</v>
      </c>
      <c r="M9" s="280"/>
      <c r="O9" s="223" t="s">
        <v>534</v>
      </c>
      <c r="P9" s="223" t="s">
        <v>534</v>
      </c>
      <c r="Q9" s="225"/>
      <c r="R9" s="223" t="s">
        <v>536</v>
      </c>
      <c r="S9" s="223" t="s">
        <v>536</v>
      </c>
      <c r="T9" s="225"/>
      <c r="U9" s="260"/>
      <c r="V9" s="220" t="s">
        <v>539</v>
      </c>
      <c r="X9" s="519" t="s">
        <v>578</v>
      </c>
      <c r="Y9" s="520"/>
      <c r="Z9" s="520"/>
      <c r="AA9" s="520"/>
      <c r="AB9" s="521"/>
    </row>
    <row r="10" spans="2:29" ht="15" thickBot="1">
      <c r="B10" s="252" t="s">
        <v>480</v>
      </c>
      <c r="C10" s="245">
        <f>C9*2</f>
        <v>8</v>
      </c>
      <c r="E10" s="226" t="s">
        <v>530</v>
      </c>
      <c r="F10" s="221"/>
      <c r="G10" s="227" t="s">
        <v>539</v>
      </c>
      <c r="J10" s="238" t="s">
        <v>548</v>
      </c>
      <c r="K10" s="281"/>
      <c r="L10" s="281" t="s">
        <v>567</v>
      </c>
      <c r="M10" s="282"/>
      <c r="X10" s="273" t="s">
        <v>536</v>
      </c>
      <c r="Y10" s="224" t="s">
        <v>534</v>
      </c>
      <c r="Z10" s="224"/>
      <c r="AA10" s="273" t="s">
        <v>554</v>
      </c>
      <c r="AB10" s="270" t="s">
        <v>555</v>
      </c>
    </row>
    <row r="11" spans="2:29" ht="15" thickBot="1">
      <c r="B11" s="252" t="s">
        <v>481</v>
      </c>
      <c r="C11" s="246">
        <v>120</v>
      </c>
      <c r="E11" s="219" t="s">
        <v>548</v>
      </c>
      <c r="F11" s="225"/>
      <c r="G11" s="220" t="s">
        <v>560</v>
      </c>
      <c r="X11" s="276" t="s">
        <v>548</v>
      </c>
      <c r="Y11" s="221" t="s">
        <v>548</v>
      </c>
      <c r="Z11" s="221"/>
      <c r="AA11" s="276"/>
      <c r="AB11" s="271" t="s">
        <v>556</v>
      </c>
    </row>
    <row r="12" spans="2:29" ht="15" thickBot="1">
      <c r="B12" s="252" t="s">
        <v>482</v>
      </c>
      <c r="C12" s="247">
        <v>15</v>
      </c>
      <c r="J12" s="284" t="s">
        <v>579</v>
      </c>
      <c r="K12" s="242"/>
      <c r="L12" s="243"/>
      <c r="M12" s="285" t="s">
        <v>554</v>
      </c>
      <c r="X12" s="277" t="s">
        <v>542</v>
      </c>
      <c r="Y12" s="225" t="s">
        <v>542</v>
      </c>
      <c r="Z12" s="225"/>
      <c r="AA12" s="260"/>
      <c r="AB12" s="220"/>
    </row>
    <row r="13" spans="2:29">
      <c r="B13" s="252" t="s">
        <v>483</v>
      </c>
      <c r="C13" s="248">
        <v>30</v>
      </c>
      <c r="E13" s="258" t="s">
        <v>570</v>
      </c>
      <c r="F13" s="561" t="s">
        <v>569</v>
      </c>
      <c r="J13" s="234" t="s">
        <v>549</v>
      </c>
      <c r="K13" s="234"/>
      <c r="L13" s="234" t="s">
        <v>556</v>
      </c>
      <c r="M13" s="234"/>
    </row>
    <row r="14" spans="2:29">
      <c r="B14" s="252" t="s">
        <v>484</v>
      </c>
      <c r="C14" s="249">
        <v>46211</v>
      </c>
      <c r="E14" s="256" t="s">
        <v>536</v>
      </c>
      <c r="F14" s="562"/>
      <c r="J14" s="234" t="s">
        <v>548</v>
      </c>
      <c r="K14" s="234"/>
      <c r="L14" s="234" t="s">
        <v>567</v>
      </c>
      <c r="M14" s="234"/>
    </row>
    <row r="15" spans="2:29" ht="15" thickBot="1">
      <c r="B15" s="253" t="s">
        <v>485</v>
      </c>
      <c r="C15" s="250">
        <v>23</v>
      </c>
      <c r="E15" s="256" t="s">
        <v>542</v>
      </c>
      <c r="F15" s="562"/>
    </row>
    <row r="16" spans="2:29" ht="15" thickBot="1">
      <c r="E16" s="257" t="s">
        <v>548</v>
      </c>
      <c r="F16" s="563"/>
    </row>
    <row r="17" spans="2:10" ht="15" thickBot="1"/>
    <row r="18" spans="2:10" ht="15" thickBot="1">
      <c r="B18" s="519" t="s">
        <v>574</v>
      </c>
      <c r="C18" s="521"/>
      <c r="E18" s="519" t="s">
        <v>573</v>
      </c>
      <c r="F18" s="520"/>
      <c r="G18" s="520"/>
      <c r="H18" s="520"/>
      <c r="I18" s="520"/>
      <c r="J18" s="521"/>
    </row>
    <row r="19" spans="2:10">
      <c r="B19" s="264" t="s">
        <v>537</v>
      </c>
      <c r="C19" s="264" t="s">
        <v>542</v>
      </c>
      <c r="E19" s="226" t="s">
        <v>540</v>
      </c>
      <c r="F19" s="221" t="s">
        <v>542</v>
      </c>
      <c r="G19" s="227" t="s">
        <v>543</v>
      </c>
      <c r="H19" s="240"/>
      <c r="I19" s="261" t="s">
        <v>545</v>
      </c>
      <c r="J19" s="262" t="s">
        <v>552</v>
      </c>
    </row>
    <row r="20" spans="2:10" ht="15" thickBot="1">
      <c r="B20" s="265"/>
      <c r="C20" s="265" t="s">
        <v>548</v>
      </c>
      <c r="E20" s="219" t="s">
        <v>541</v>
      </c>
      <c r="F20" s="225" t="s">
        <v>544</v>
      </c>
      <c r="G20" s="220"/>
      <c r="H20" s="240"/>
      <c r="I20" s="118"/>
      <c r="J20" s="263" t="s">
        <v>551</v>
      </c>
    </row>
    <row r="21" spans="2:10" ht="15" thickBot="1">
      <c r="E21" s="231"/>
      <c r="F21" s="240"/>
      <c r="G21" s="240"/>
      <c r="H21" s="240"/>
      <c r="I21" s="240"/>
      <c r="J21" s="12"/>
    </row>
    <row r="22" spans="2:10" ht="15" thickBot="1">
      <c r="B22" s="255" t="s">
        <v>565</v>
      </c>
      <c r="C22" s="230"/>
      <c r="E22" s="217" t="s">
        <v>540</v>
      </c>
      <c r="F22" s="224" t="s">
        <v>542</v>
      </c>
      <c r="G22" s="218" t="s">
        <v>543</v>
      </c>
      <c r="H22" s="240"/>
      <c r="I22" s="240"/>
      <c r="J22" s="12"/>
    </row>
    <row r="23" spans="2:10" ht="15" thickBot="1">
      <c r="B23" s="229" t="s">
        <v>536</v>
      </c>
      <c r="C23" s="230"/>
      <c r="E23" s="219" t="s">
        <v>541</v>
      </c>
      <c r="F23" s="225" t="s">
        <v>544</v>
      </c>
      <c r="G23" s="220"/>
      <c r="H23" s="232"/>
      <c r="I23" s="232"/>
      <c r="J23" s="233"/>
    </row>
    <row r="24" spans="2:10" ht="15" thickBot="1">
      <c r="B24" s="226" t="s">
        <v>564</v>
      </c>
      <c r="C24" s="227"/>
    </row>
    <row r="25" spans="2:10" ht="15" thickBot="1">
      <c r="B25" s="226" t="s">
        <v>563</v>
      </c>
      <c r="C25" s="227"/>
      <c r="E25" s="558" t="s">
        <v>577</v>
      </c>
      <c r="F25" s="559"/>
      <c r="G25" s="559"/>
      <c r="H25" s="559"/>
      <c r="I25" s="560"/>
    </row>
    <row r="26" spans="2:10" ht="15" thickBot="1">
      <c r="B26" s="219" t="s">
        <v>562</v>
      </c>
      <c r="C26" s="220"/>
      <c r="E26" s="226" t="s">
        <v>536</v>
      </c>
      <c r="F26" s="221"/>
      <c r="G26" s="279" t="s">
        <v>537</v>
      </c>
      <c r="H26" s="564"/>
      <c r="I26" s="565"/>
    </row>
    <row r="27" spans="2:10">
      <c r="E27" s="226" t="s">
        <v>557</v>
      </c>
      <c r="F27" s="221"/>
      <c r="G27" s="239"/>
      <c r="H27" s="566" t="s">
        <v>561</v>
      </c>
      <c r="I27" s="567"/>
    </row>
    <row r="28" spans="2:10">
      <c r="E28" s="226" t="s">
        <v>548</v>
      </c>
      <c r="F28" s="221"/>
      <c r="G28" s="239"/>
      <c r="H28" s="566" t="s">
        <v>560</v>
      </c>
      <c r="I28" s="567"/>
    </row>
    <row r="29" spans="2:10" ht="15" thickBot="1">
      <c r="E29" s="219" t="s">
        <v>558</v>
      </c>
      <c r="F29" s="225"/>
      <c r="G29" s="223"/>
      <c r="H29" s="568" t="s">
        <v>559</v>
      </c>
      <c r="I29" s="569"/>
    </row>
  </sheetData>
  <mergeCells count="18">
    <mergeCell ref="H26:I26"/>
    <mergeCell ref="H27:I27"/>
    <mergeCell ref="H28:I28"/>
    <mergeCell ref="H29:I29"/>
    <mergeCell ref="K8:M8"/>
    <mergeCell ref="B18:C18"/>
    <mergeCell ref="X4:AC4"/>
    <mergeCell ref="X9:AB9"/>
    <mergeCell ref="E25:I25"/>
    <mergeCell ref="O3:U3"/>
    <mergeCell ref="O7:V7"/>
    <mergeCell ref="E18:J18"/>
    <mergeCell ref="B3:C3"/>
    <mergeCell ref="B4:C4"/>
    <mergeCell ref="B5:C5"/>
    <mergeCell ref="E3:G3"/>
    <mergeCell ref="E8:G8"/>
    <mergeCell ref="F13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6</vt:i4>
      </vt:variant>
    </vt:vector>
  </HeadingPairs>
  <TitlesOfParts>
    <vt:vector size="29" baseType="lpstr">
      <vt:lpstr>orden de merito 7A</vt:lpstr>
      <vt:lpstr>orden de merito 7B</vt:lpstr>
      <vt:lpstr>7D orden de merito</vt:lpstr>
      <vt:lpstr>Hoja1</vt:lpstr>
      <vt:lpstr>Ingredients Solutions S.A.</vt:lpstr>
      <vt:lpstr>MUNI SECRE OBRAS</vt:lpstr>
      <vt:lpstr>VETANCO</vt:lpstr>
      <vt:lpstr>VECO</vt:lpstr>
      <vt:lpstr>METALURGICA TUYU</vt:lpstr>
      <vt:lpstr>ESTRUCMAR</vt:lpstr>
      <vt:lpstr>SAICO</vt:lpstr>
      <vt:lpstr>TRANSFORMADORES </vt:lpstr>
      <vt:lpstr>Just</vt:lpstr>
      <vt:lpstr>ADAMA</vt:lpstr>
      <vt:lpstr>BIMBO </vt:lpstr>
      <vt:lpstr>cfp 401 </vt:lpstr>
      <vt:lpstr>FARMESA</vt:lpstr>
      <vt:lpstr>PREMEC</vt:lpstr>
      <vt:lpstr>serenisima</vt:lpstr>
      <vt:lpstr>YAMAHA</vt:lpstr>
      <vt:lpstr>ACERO LATINA</vt:lpstr>
      <vt:lpstr>VERNET</vt:lpstr>
      <vt:lpstr>ORGANIZACION</vt:lpstr>
      <vt:lpstr>'7D orden de merito'!Área_de_impresión</vt:lpstr>
      <vt:lpstr>'orden de merito 7A'!Área_de_impresión</vt:lpstr>
      <vt:lpstr>'orden de merito 7B'!Área_de_impresión</vt:lpstr>
      <vt:lpstr>'7D orden de merito'!Títulos_a_imprimir</vt:lpstr>
      <vt:lpstr>'orden de merito 7A'!Títulos_a_imprimir</vt:lpstr>
      <vt:lpstr>'orden de merito 7B'!Títulos_a_imprimir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DIEGO3D</dc:creator>
  <cp:lastModifiedBy>DIEGO3D</cp:lastModifiedBy>
  <cp:lastPrinted>2026-05-31T20:35:30Z</cp:lastPrinted>
  <dcterms:created xsi:type="dcterms:W3CDTF">2026-04-06T20:05:19Z</dcterms:created>
  <dcterms:modified xsi:type="dcterms:W3CDTF">2026-05-31T21:33:48Z</dcterms:modified>
</cp:coreProperties>
</file>